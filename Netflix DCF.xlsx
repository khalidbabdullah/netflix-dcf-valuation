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halidabdullah/Documents/"/>
    </mc:Choice>
  </mc:AlternateContent>
  <xr:revisionPtr revIDLastSave="0" documentId="13_ncr:1_{A6A6A200-B4D9-D64B-80DA-025B0B068F46}" xr6:coauthVersionLast="47" xr6:coauthVersionMax="47" xr10:uidLastSave="{00000000-0000-0000-0000-000000000000}"/>
  <bookViews>
    <workbookView xWindow="1320" yWindow="620" windowWidth="27480" windowHeight="17380" activeTab="2" xr2:uid="{0A034F77-EE2C-334C-B3D2-9AA5B9578F5A}"/>
  </bookViews>
  <sheets>
    <sheet name="Cover" sheetId="4" r:id="rId1"/>
    <sheet name="Outputs" sheetId="5" r:id="rId2"/>
    <sheet name="Model" sheetId="3" r:id="rId3"/>
    <sheet name="Statements" sheetId="1" r:id="rId4"/>
  </sheets>
  <definedNames>
    <definedName name="_xlchart.v1.0" hidden="1">Model!$E$81:$E$83</definedName>
    <definedName name="_xlchart.v1.1" hidden="1">Model!$F$81:$F$83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9" i="3" l="1"/>
  <c r="G22" i="3" s="1"/>
  <c r="K17" i="5" l="1"/>
  <c r="J17" i="5"/>
  <c r="I17" i="5"/>
  <c r="H19" i="5"/>
  <c r="H20" i="5"/>
  <c r="H18" i="5"/>
  <c r="E83" i="3" l="1"/>
  <c r="E82" i="3"/>
  <c r="E81" i="3"/>
  <c r="K106" i="3" l="1"/>
  <c r="K96" i="3"/>
  <c r="J96" i="3"/>
  <c r="I96" i="3"/>
  <c r="H96" i="3"/>
  <c r="G96" i="3"/>
  <c r="F96" i="3"/>
  <c r="E96" i="3"/>
  <c r="D96" i="3"/>
  <c r="I4" i="3"/>
  <c r="J4" i="3"/>
  <c r="K4" i="3" s="1"/>
  <c r="H4" i="3"/>
  <c r="J7" i="5"/>
  <c r="C83" i="3"/>
  <c r="C90" i="3"/>
  <c r="C89" i="3"/>
  <c r="C80" i="3"/>
  <c r="C87" i="3"/>
  <c r="C91" i="3" s="1"/>
  <c r="C82" i="3" s="1"/>
  <c r="E62" i="3"/>
  <c r="E73" i="3" s="1"/>
  <c r="F62" i="3"/>
  <c r="F73" i="3" s="1"/>
  <c r="D62" i="3"/>
  <c r="D73" i="3" s="1"/>
  <c r="F61" i="3"/>
  <c r="E61" i="3"/>
  <c r="D61" i="3"/>
  <c r="E55" i="3"/>
  <c r="E72" i="3" s="1"/>
  <c r="F55" i="3"/>
  <c r="F72" i="3" s="1"/>
  <c r="D55" i="3"/>
  <c r="D72" i="3" s="1"/>
  <c r="F54" i="3"/>
  <c r="E54" i="3"/>
  <c r="D54" i="3"/>
  <c r="E47" i="3"/>
  <c r="E48" i="3"/>
  <c r="E71" i="3" s="1"/>
  <c r="F48" i="3"/>
  <c r="D48" i="3"/>
  <c r="D71" i="3" s="1"/>
  <c r="F41" i="3"/>
  <c r="F68" i="3" s="1"/>
  <c r="F69" i="3" s="1"/>
  <c r="F70" i="3" s="1"/>
  <c r="E41" i="3"/>
  <c r="E68" i="3" s="1"/>
  <c r="E69" i="3" s="1"/>
  <c r="E70" i="3" s="1"/>
  <c r="D41" i="3"/>
  <c r="D68" i="3" s="1"/>
  <c r="D33" i="3"/>
  <c r="K40" i="3"/>
  <c r="F12" i="3"/>
  <c r="G12" i="3" s="1"/>
  <c r="E12" i="3"/>
  <c r="E40" i="3" s="1"/>
  <c r="D12" i="3"/>
  <c r="D40" i="3" s="1"/>
  <c r="D5" i="3"/>
  <c r="D10" i="3" s="1"/>
  <c r="E34" i="3"/>
  <c r="F34" i="3"/>
  <c r="D34" i="3"/>
  <c r="D47" i="3" s="1"/>
  <c r="E31" i="3"/>
  <c r="E38" i="3" s="1"/>
  <c r="E52" i="3" s="1"/>
  <c r="E66" i="3" s="1"/>
  <c r="F31" i="3"/>
  <c r="F38" i="3" s="1"/>
  <c r="F52" i="3" s="1"/>
  <c r="F66" i="3" s="1"/>
  <c r="D31" i="3"/>
  <c r="D38" i="3" s="1"/>
  <c r="D52" i="3" s="1"/>
  <c r="D66" i="3" s="1"/>
  <c r="E5" i="3"/>
  <c r="F5" i="3" s="1"/>
  <c r="G5" i="3" s="1"/>
  <c r="H5" i="3" s="1"/>
  <c r="I5" i="3" s="1"/>
  <c r="J5" i="3" s="1"/>
  <c r="K5" i="3" s="1"/>
  <c r="E7" i="3"/>
  <c r="E6" i="3" s="1"/>
  <c r="E33" i="3" s="1"/>
  <c r="F7" i="3"/>
  <c r="F6" i="3" s="1"/>
  <c r="F33" i="3" s="1"/>
  <c r="G4" i="1"/>
  <c r="H4" i="1" s="1"/>
  <c r="G20" i="1"/>
  <c r="H20" i="1" s="1"/>
  <c r="C88" i="3" l="1"/>
  <c r="C92" i="3" s="1"/>
  <c r="D17" i="3" s="1"/>
  <c r="G17" i="3" s="1"/>
  <c r="J8" i="5" s="1"/>
  <c r="F47" i="3"/>
  <c r="K61" i="3"/>
  <c r="G47" i="3"/>
  <c r="H47" i="3"/>
  <c r="D69" i="3"/>
  <c r="D70" i="3" s="1"/>
  <c r="D74" i="3" s="1"/>
  <c r="E74" i="3"/>
  <c r="G61" i="3"/>
  <c r="H61" i="3"/>
  <c r="F71" i="3"/>
  <c r="F74" i="3" s="1"/>
  <c r="I61" i="3"/>
  <c r="J61" i="3"/>
  <c r="I47" i="3"/>
  <c r="J47" i="3"/>
  <c r="H12" i="3"/>
  <c r="I12" i="3"/>
  <c r="E45" i="3"/>
  <c r="E59" i="3" s="1"/>
  <c r="F45" i="3"/>
  <c r="F59" i="3" s="1"/>
  <c r="F11" i="3"/>
  <c r="G11" i="3" s="1"/>
  <c r="G40" i="3" s="1"/>
  <c r="F13" i="3"/>
  <c r="J12" i="3"/>
  <c r="D45" i="3"/>
  <c r="D59" i="3" s="1"/>
  <c r="E10" i="3"/>
  <c r="G31" i="3"/>
  <c r="K31" i="3"/>
  <c r="F10" i="3"/>
  <c r="K10" i="3"/>
  <c r="J31" i="3"/>
  <c r="J10" i="3"/>
  <c r="I31" i="3"/>
  <c r="I10" i="3"/>
  <c r="H31" i="3"/>
  <c r="H10" i="3"/>
  <c r="G10" i="3"/>
  <c r="F8" i="3"/>
  <c r="E8" i="3"/>
  <c r="G7" i="3"/>
  <c r="D18" i="3" l="1"/>
  <c r="D16" i="3"/>
  <c r="J38" i="3"/>
  <c r="J52" i="3" s="1"/>
  <c r="J66" i="3" s="1"/>
  <c r="J45" i="3"/>
  <c r="J59" i="3" s="1"/>
  <c r="H38" i="3"/>
  <c r="H52" i="3" s="1"/>
  <c r="H66" i="3" s="1"/>
  <c r="H45" i="3"/>
  <c r="H59" i="3" s="1"/>
  <c r="G38" i="3"/>
  <c r="G52" i="3" s="1"/>
  <c r="G66" i="3" s="1"/>
  <c r="G45" i="3"/>
  <c r="G59" i="3" s="1"/>
  <c r="J13" i="3"/>
  <c r="I13" i="3"/>
  <c r="H13" i="3"/>
  <c r="G13" i="3"/>
  <c r="I38" i="3"/>
  <c r="I52" i="3" s="1"/>
  <c r="I66" i="3" s="1"/>
  <c r="I45" i="3"/>
  <c r="I59" i="3" s="1"/>
  <c r="F40" i="3"/>
  <c r="J11" i="3"/>
  <c r="J40" i="3" s="1"/>
  <c r="K38" i="3"/>
  <c r="K52" i="3" s="1"/>
  <c r="K66" i="3" s="1"/>
  <c r="K45" i="3"/>
  <c r="K59" i="3" s="1"/>
  <c r="I11" i="3"/>
  <c r="I40" i="3" s="1"/>
  <c r="H11" i="3"/>
  <c r="H40" i="3" s="1"/>
  <c r="G8" i="3"/>
  <c r="G6" i="3"/>
  <c r="G33" i="3" s="1"/>
  <c r="G34" i="3" s="1"/>
  <c r="H7" i="3"/>
  <c r="G41" i="3" l="1"/>
  <c r="G68" i="3" s="1"/>
  <c r="G69" i="3" s="1"/>
  <c r="G70" i="3" s="1"/>
  <c r="G55" i="3"/>
  <c r="G72" i="3" s="1"/>
  <c r="G62" i="3"/>
  <c r="G73" i="3" s="1"/>
  <c r="G48" i="3"/>
  <c r="G71" i="3" s="1"/>
  <c r="H6" i="3"/>
  <c r="H33" i="3" s="1"/>
  <c r="H34" i="3" s="1"/>
  <c r="I7" i="3"/>
  <c r="H8" i="3"/>
  <c r="G74" i="3" l="1"/>
  <c r="G98" i="3" s="1"/>
  <c r="G99" i="3" s="1"/>
  <c r="H41" i="3"/>
  <c r="H68" i="3" s="1"/>
  <c r="H69" i="3" s="1"/>
  <c r="H70" i="3" s="1"/>
  <c r="H55" i="3"/>
  <c r="H72" i="3" s="1"/>
  <c r="H62" i="3"/>
  <c r="H73" i="3" s="1"/>
  <c r="H48" i="3"/>
  <c r="H71" i="3" s="1"/>
  <c r="I6" i="3"/>
  <c r="I33" i="3" s="1"/>
  <c r="I34" i="3" s="1"/>
  <c r="J7" i="3"/>
  <c r="I8" i="3"/>
  <c r="H74" i="3" l="1"/>
  <c r="H98" i="3" s="1"/>
  <c r="H99" i="3" s="1"/>
  <c r="I41" i="3"/>
  <c r="I68" i="3" s="1"/>
  <c r="I69" i="3" s="1"/>
  <c r="I70" i="3" s="1"/>
  <c r="I55" i="3"/>
  <c r="I72" i="3" s="1"/>
  <c r="I62" i="3"/>
  <c r="I73" i="3" s="1"/>
  <c r="I48" i="3"/>
  <c r="I71" i="3" s="1"/>
  <c r="J8" i="3"/>
  <c r="J6" i="3"/>
  <c r="J33" i="3" s="1"/>
  <c r="J34" i="3" s="1"/>
  <c r="K7" i="3"/>
  <c r="I74" i="3" l="1"/>
  <c r="I98" i="3" s="1"/>
  <c r="I99" i="3" s="1"/>
  <c r="J41" i="3"/>
  <c r="J68" i="3" s="1"/>
  <c r="J55" i="3"/>
  <c r="J72" i="3" s="1"/>
  <c r="J62" i="3"/>
  <c r="J73" i="3" s="1"/>
  <c r="J48" i="3"/>
  <c r="J71" i="3" s="1"/>
  <c r="K8" i="3"/>
  <c r="K6" i="3"/>
  <c r="K33" i="3" s="1"/>
  <c r="K34" i="3" s="1"/>
  <c r="J69" i="3" l="1"/>
  <c r="J70" i="3" s="1"/>
  <c r="J74" i="3" s="1"/>
  <c r="J98" i="3" s="1"/>
  <c r="J99" i="3" s="1"/>
  <c r="K41" i="3"/>
  <c r="K68" i="3" s="1"/>
  <c r="K69" i="3" s="1"/>
  <c r="K70" i="3" s="1"/>
  <c r="K48" i="3"/>
  <c r="K71" i="3" s="1"/>
  <c r="K55" i="3"/>
  <c r="K72" i="3" s="1"/>
  <c r="K62" i="3"/>
  <c r="K73" i="3" s="1"/>
  <c r="K74" i="3" l="1"/>
  <c r="K98" i="3" s="1"/>
  <c r="K99" i="3" s="1"/>
  <c r="K101" i="3" l="1"/>
  <c r="K102" i="3" s="1"/>
  <c r="F81" i="3"/>
  <c r="K104" i="3" l="1"/>
  <c r="F82" i="3"/>
  <c r="F83" i="3" l="1"/>
  <c r="B7" i="5"/>
  <c r="K108" i="3"/>
  <c r="K110" i="3" s="1"/>
</calcChain>
</file>

<file path=xl/sharedStrings.xml><?xml version="1.0" encoding="utf-8"?>
<sst xmlns="http://schemas.openxmlformats.org/spreadsheetml/2006/main" count="167" uniqueCount="130">
  <si>
    <t>Revenues</t>
  </si>
  <si>
    <t>Cost of revenues</t>
  </si>
  <si>
    <t>Marketing</t>
  </si>
  <si>
    <t>Technology and development</t>
  </si>
  <si>
    <t>General and administrative</t>
  </si>
  <si>
    <t>Other income (expense):</t>
  </si>
  <si>
    <t>Interest expense</t>
  </si>
  <si>
    <t>Interest and other income (expense)</t>
  </si>
  <si>
    <t>Provision for income taxes</t>
  </si>
  <si>
    <t>Net income</t>
  </si>
  <si>
    <t>Operating income (EBIT)</t>
  </si>
  <si>
    <t>Income before income taxes (EBT)</t>
  </si>
  <si>
    <t>Cash flows from operating activities:</t>
  </si>
  <si>
    <t>Adjustments to reconcile net income to net cash provided by</t>
  </si>
  <si>
    <t>operating activities:</t>
  </si>
  <si>
    <t>Additions to content assets</t>
  </si>
  <si>
    <t>Change in content liabilities</t>
  </si>
  <si>
    <t>Amortization of content assets</t>
  </si>
  <si>
    <t>Depreciation and amortization of property, equipment and</t>
  </si>
  <si>
    <t>intangibles</t>
  </si>
  <si>
    <t>Stock-based compensation expense</t>
  </si>
  <si>
    <t>Foreign currency remeasurement loss (gain) on debt</t>
  </si>
  <si>
    <t>Other non-cash items</t>
  </si>
  <si>
    <t>Deferred income taxes</t>
  </si>
  <si>
    <t>Changes in operating assets and liabilities:</t>
  </si>
  <si>
    <t>Other current assets</t>
  </si>
  <si>
    <t>Accounts payable</t>
  </si>
  <si>
    <t>Accrued expenses and other liabilities</t>
  </si>
  <si>
    <t>Deferred revenue</t>
  </si>
  <si>
    <t>Other non-current assets and liabilities</t>
  </si>
  <si>
    <t>Net cash provided by operating activities</t>
  </si>
  <si>
    <t>Cash flows from investing activities:</t>
  </si>
  <si>
    <t>Purchases of property and equipment</t>
  </si>
  <si>
    <t>Acquisitions</t>
  </si>
  <si>
    <t>Net cash provided by (used in) investing activities</t>
  </si>
  <si>
    <t>Cash flows from financing activities:</t>
  </si>
  <si>
    <t>Repayments of debt</t>
  </si>
  <si>
    <t>Proceeds from issuance of common stock</t>
  </si>
  <si>
    <t>Repurchases of common stock</t>
  </si>
  <si>
    <t>Taxes paid related to net share settlement of equity awards</t>
  </si>
  <si>
    <t>Other financing activities</t>
  </si>
  <si>
    <t>Net cash used in financing activities</t>
  </si>
  <si>
    <t>restricted cash</t>
  </si>
  <si>
    <t>Cash, cash equivalents and restricted cash, end of year</t>
  </si>
  <si>
    <t>Purchases of investments</t>
  </si>
  <si>
    <t>Proceeds from maturities and sales of investments</t>
  </si>
  <si>
    <t>Proceeds from issuance of debt</t>
  </si>
  <si>
    <t>Effect of exchange rate changes on cash, cash equivalents and</t>
  </si>
  <si>
    <t>Net increase in cash, cash equivalents and restricted cash</t>
  </si>
  <si>
    <t>Cash, cash equivalents and restricted cash, beginning of year</t>
  </si>
  <si>
    <t>INCOME STATEMENT (in thousands)</t>
  </si>
  <si>
    <t>CASH FLOW STATEMENT (in thousands)</t>
  </si>
  <si>
    <t>Base</t>
  </si>
  <si>
    <t>Revenue Growth</t>
  </si>
  <si>
    <t>Best (105%)</t>
  </si>
  <si>
    <t>Worst (95%)</t>
  </si>
  <si>
    <t>Netflix</t>
  </si>
  <si>
    <t>X</t>
  </si>
  <si>
    <t xml:space="preserve"> </t>
  </si>
  <si>
    <t>ASSUMPTIONS</t>
  </si>
  <si>
    <t>EBIT</t>
  </si>
  <si>
    <t>WACC</t>
  </si>
  <si>
    <t>TGV</t>
  </si>
  <si>
    <t>Revenue</t>
  </si>
  <si>
    <t>Swtich:</t>
  </si>
  <si>
    <t>Operating Margin</t>
  </si>
  <si>
    <t>REVENUE FORECAST</t>
  </si>
  <si>
    <t>EBIT FORECAST</t>
  </si>
  <si>
    <t>D&amp;A FORECAST</t>
  </si>
  <si>
    <t>D&amp;A</t>
  </si>
  <si>
    <t>D&amp;A (% Revenue)</t>
  </si>
  <si>
    <t>CapEx</t>
  </si>
  <si>
    <t>CapEx (% Revenue)</t>
  </si>
  <si>
    <t>CAPEX FORECAST</t>
  </si>
  <si>
    <t>CHANGE IN WORKING CAPITAL FORECAST</t>
  </si>
  <si>
    <t>ΔNWC (% Revenue)</t>
  </si>
  <si>
    <t>ΔNWC</t>
  </si>
  <si>
    <t>Effective Tax Rate:</t>
  </si>
  <si>
    <t>FCFF</t>
  </si>
  <si>
    <t>FREE CASH FLOW TO THE FIRM (FCFF)</t>
  </si>
  <si>
    <t>Less: Cash Taxes</t>
  </si>
  <si>
    <t>NOPAT</t>
  </si>
  <si>
    <t>Add: D&amp;A</t>
  </si>
  <si>
    <t>Less: CapEx</t>
  </si>
  <si>
    <t>Less: ΔNWC</t>
  </si>
  <si>
    <t>NFLX</t>
  </si>
  <si>
    <t>Market Cap</t>
  </si>
  <si>
    <t>(in thousands)</t>
  </si>
  <si>
    <t>% of Equity</t>
  </si>
  <si>
    <t>Cost of Equity</t>
  </si>
  <si>
    <t>Riske Free Rate</t>
  </si>
  <si>
    <t>Beta</t>
  </si>
  <si>
    <t>Equity Risk Premium</t>
  </si>
  <si>
    <t>Debt</t>
  </si>
  <si>
    <t>Cost of Debt</t>
  </si>
  <si>
    <t>Tax Rate</t>
  </si>
  <si>
    <t>% of Debt</t>
  </si>
  <si>
    <t>Total</t>
  </si>
  <si>
    <t>Currently in use</t>
  </si>
  <si>
    <t>DCF</t>
  </si>
  <si>
    <t>Present Value of FCFF</t>
  </si>
  <si>
    <t>Terminal Value</t>
  </si>
  <si>
    <t>PV of Terminal Value</t>
  </si>
  <si>
    <t>Enterprise Value</t>
  </si>
  <si>
    <t>(+) Cash</t>
  </si>
  <si>
    <t>(-) Debt</t>
  </si>
  <si>
    <t>Equity Value</t>
  </si>
  <si>
    <t>Dilluted Shares Outstanding</t>
  </si>
  <si>
    <t>Implied Share Price</t>
  </si>
  <si>
    <t>Discounted Cash Flow</t>
  </si>
  <si>
    <t>Ticker:</t>
  </si>
  <si>
    <t>WACC = % of Equity * Cost of Equity + % of Debt * Cost of Debt * (1 - Tax Rate)</t>
  </si>
  <si>
    <t>Main Outputs</t>
  </si>
  <si>
    <t>Best Case</t>
  </si>
  <si>
    <t>Base Case</t>
  </si>
  <si>
    <t>Worst Case</t>
  </si>
  <si>
    <t>Equity Per Share</t>
  </si>
  <si>
    <t>Selected Inputs</t>
  </si>
  <si>
    <t>Terminal Growth Rate</t>
  </si>
  <si>
    <t>Shares Outstanding</t>
  </si>
  <si>
    <t>4.3B</t>
  </si>
  <si>
    <t>Stock Price</t>
  </si>
  <si>
    <t>Enterprise Value Bridge</t>
  </si>
  <si>
    <t>WACC x TGV</t>
  </si>
  <si>
    <t>Revenue x EBIT</t>
  </si>
  <si>
    <t>Model Set to:</t>
  </si>
  <si>
    <t>(All figures are in thousands uless stated otherwise)</t>
  </si>
  <si>
    <t>Best</t>
  </si>
  <si>
    <t>Worst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</si>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</sst>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quot;$&quot;* #,##0_);_(&quot;$&quot;* \(#,##0\);_(&quot;$&quot;* &quot;-&quot;_);_(@_)"/>
    <numFmt numFmtId="165" formatCode="0&quot;A&quot;"/>
    <numFmt numFmtId="166" formatCode="0&quot;F&quot;"/>
    <numFmt numFmtId="167" formatCode="0.0%"/>
    <numFmt numFmtId="168" formatCode="0%;\-0%;&quot;-&quot;\ "/>
    <numFmt numFmtId="169" formatCode="0.00_);\(0.00\)"/>
    <numFmt numFmtId="170" formatCode="0.0%;\-0.0%;&quot;-&quot;\ "/>
    <numFmt numFmtId="171" formatCode="_(&quot;$&quot;* #,##0.00_);_(&quot;$&quot;* \(#,##0.00\);_(&quot;$&quot;* &quot;-&quot;_);_(@_)"/>
    <numFmt numFmtId="172" formatCode="#,##0.0_);\(#,##0.0\)"/>
  </numFmts>
  <fonts count="25" x14ac:knownFonts="1">
    <font>
      <sz val="12"/>
      <color theme="1"/>
      <name val="Calibri"/>
      <family val="2"/>
      <scheme val="minor"/>
    </font>
    <font>
      <sz val="12"/>
      <color theme="1"/>
      <name val="Calibri"/>
      <family val="2"/>
      <scheme val="minor"/>
    </font>
    <font>
      <sz val="11"/>
      <color theme="0"/>
      <name val="Arial"/>
      <family val="2"/>
    </font>
    <font>
      <sz val="11"/>
      <color theme="0"/>
      <name val="Calibri"/>
      <family val="2"/>
      <scheme val="minor"/>
    </font>
    <font>
      <sz val="11"/>
      <color theme="1"/>
      <name val="Calibri"/>
      <family val="2"/>
      <scheme val="minor"/>
    </font>
    <font>
      <b/>
      <sz val="11"/>
      <name val="Arial"/>
      <family val="2"/>
    </font>
    <font>
      <sz val="11"/>
      <name val="Arial"/>
      <family val="2"/>
    </font>
    <font>
      <sz val="11"/>
      <color rgb="FF0070C0"/>
      <name val="Arial"/>
      <family val="2"/>
    </font>
    <font>
      <sz val="11"/>
      <color rgb="FF0070C0"/>
      <name val="Calibri"/>
      <family val="2"/>
      <scheme val="minor"/>
    </font>
    <font>
      <b/>
      <sz val="26"/>
      <color theme="0"/>
      <name val="Calibri"/>
      <family val="2"/>
      <scheme val="minor"/>
    </font>
    <font>
      <sz val="11"/>
      <color theme="1"/>
      <name val="Arial"/>
      <family val="2"/>
    </font>
    <font>
      <b/>
      <sz val="26"/>
      <color theme="0"/>
      <name val="Arial"/>
      <family val="2"/>
    </font>
    <font>
      <b/>
      <sz val="11"/>
      <color theme="2"/>
      <name val="Arial"/>
      <family val="2"/>
    </font>
    <font>
      <sz val="11"/>
      <color theme="2"/>
      <name val="Arial"/>
      <family val="2"/>
    </font>
    <font>
      <b/>
      <sz val="11"/>
      <color theme="1"/>
      <name val="Arial"/>
      <family val="2"/>
    </font>
    <font>
      <sz val="11"/>
      <color theme="4"/>
      <name val="Arial"/>
      <family val="2"/>
    </font>
    <font>
      <sz val="20"/>
      <color theme="1"/>
      <name val="Calibri"/>
      <family val="2"/>
      <scheme val="minor"/>
    </font>
    <font>
      <sz val="36"/>
      <color rgb="FFFF0000"/>
      <name val="Calibri"/>
      <family val="2"/>
      <scheme val="minor"/>
    </font>
    <font>
      <sz val="36"/>
      <color rgb="FFFF0000"/>
      <name val="Times New Roman"/>
      <family val="1"/>
    </font>
    <font>
      <sz val="20"/>
      <color theme="1"/>
      <name val="Times New Roman"/>
      <family val="1"/>
    </font>
    <font>
      <sz val="14"/>
      <color theme="1"/>
      <name val="Times New Roman"/>
      <family val="1"/>
    </font>
    <font>
      <sz val="12"/>
      <color theme="1"/>
      <name val="Times New Roman"/>
      <family val="1"/>
    </font>
    <font>
      <b/>
      <sz val="12"/>
      <color theme="1"/>
      <name val="Calibri"/>
      <family val="2"/>
      <scheme val="minor"/>
    </font>
    <font>
      <sz val="12"/>
      <color theme="0"/>
      <name val="Calibri"/>
      <family val="2"/>
      <scheme val="minor"/>
    </font>
    <font>
      <i/>
      <sz val="12"/>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2" tint="-0.749992370372631"/>
        <bgColor indexed="64"/>
      </patternFill>
    </fill>
    <fill>
      <patternFill patternType="solid">
        <fgColor theme="0"/>
        <bgColor indexed="64"/>
      </patternFill>
    </fill>
  </fills>
  <borders count="2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0" fontId="4" fillId="0" borderId="0" xfId="0" applyFont="1"/>
    <xf numFmtId="165" fontId="4" fillId="0" borderId="2" xfId="0" applyNumberFormat="1" applyFont="1" applyBorder="1"/>
    <xf numFmtId="0" fontId="4" fillId="0" borderId="0" xfId="0" applyFont="1" applyAlignment="1">
      <alignment horizontal="right"/>
    </xf>
    <xf numFmtId="0" fontId="5" fillId="0" borderId="0" xfId="0" applyFont="1" applyAlignment="1">
      <alignment vertical="top"/>
    </xf>
    <xf numFmtId="0" fontId="6" fillId="0" borderId="0" xfId="0" applyFont="1" applyAlignment="1">
      <alignment vertical="top"/>
    </xf>
    <xf numFmtId="164" fontId="7" fillId="0" borderId="0" xfId="0" applyNumberFormat="1" applyFont="1" applyAlignment="1">
      <alignment vertical="top"/>
    </xf>
    <xf numFmtId="37" fontId="7" fillId="0" borderId="0" xfId="0" applyNumberFormat="1" applyFont="1" applyAlignment="1">
      <alignment vertical="top"/>
    </xf>
    <xf numFmtId="0" fontId="5" fillId="0" borderId="2" xfId="0" applyFont="1" applyBorder="1" applyAlignment="1">
      <alignment vertical="top"/>
    </xf>
    <xf numFmtId="0" fontId="6" fillId="0" borderId="2" xfId="0" applyFont="1" applyBorder="1" applyAlignment="1">
      <alignment vertical="top"/>
    </xf>
    <xf numFmtId="0" fontId="4" fillId="0" borderId="2" xfId="0" applyFont="1" applyBorder="1"/>
    <xf numFmtId="37" fontId="7" fillId="0" borderId="2" xfId="0" applyNumberFormat="1" applyFont="1" applyBorder="1" applyAlignment="1">
      <alignment vertical="top"/>
    </xf>
    <xf numFmtId="0" fontId="8" fillId="0" borderId="0" xfId="0" applyFont="1" applyAlignment="1">
      <alignment vertical="top"/>
    </xf>
    <xf numFmtId="164" fontId="7" fillId="0" borderId="2" xfId="0" applyNumberFormat="1" applyFont="1" applyBorder="1" applyAlignment="1">
      <alignment vertical="top"/>
    </xf>
    <xf numFmtId="0" fontId="4" fillId="0" borderId="0" xfId="0" applyFont="1" applyAlignment="1">
      <alignment vertical="top"/>
    </xf>
    <xf numFmtId="43" fontId="7" fillId="0" borderId="0" xfId="0" applyNumberFormat="1" applyFont="1" applyAlignment="1">
      <alignment vertical="top"/>
    </xf>
    <xf numFmtId="0" fontId="6" fillId="0" borderId="0" xfId="0" applyFont="1" applyAlignment="1">
      <alignment horizontal="left" vertical="top" indent="1"/>
    </xf>
    <xf numFmtId="0" fontId="4" fillId="2" borderId="0" xfId="0" applyFont="1" applyFill="1"/>
    <xf numFmtId="0" fontId="2" fillId="3" borderId="0" xfId="0" applyFont="1" applyFill="1" applyAlignment="1">
      <alignment vertical="center"/>
    </xf>
    <xf numFmtId="0" fontId="3" fillId="3" borderId="0" xfId="0" applyFont="1" applyFill="1"/>
    <xf numFmtId="0" fontId="2" fillId="3" borderId="0" xfId="0" applyFont="1" applyFill="1" applyAlignment="1">
      <alignment vertical="top"/>
    </xf>
    <xf numFmtId="164" fontId="10" fillId="0" borderId="0" xfId="0" applyNumberFormat="1" applyFont="1" applyAlignment="1">
      <alignment vertical="top"/>
    </xf>
    <xf numFmtId="0" fontId="10" fillId="2" borderId="0" xfId="0" applyFont="1" applyFill="1"/>
    <xf numFmtId="0" fontId="10" fillId="0" borderId="0" xfId="0" applyFont="1"/>
    <xf numFmtId="0" fontId="12" fillId="3" borderId="0" xfId="0" applyFont="1" applyFill="1" applyAlignment="1">
      <alignment vertical="center"/>
    </xf>
    <xf numFmtId="0" fontId="13" fillId="3" borderId="0" xfId="0" applyFont="1" applyFill="1"/>
    <xf numFmtId="0" fontId="13" fillId="3" borderId="0" xfId="0" applyFont="1" applyFill="1" applyAlignment="1">
      <alignment horizontal="right"/>
    </xf>
    <xf numFmtId="0" fontId="10" fillId="0" borderId="0" xfId="0" applyFont="1" applyAlignment="1">
      <alignment horizontal="right"/>
    </xf>
    <xf numFmtId="0" fontId="14" fillId="0" borderId="0" xfId="0" applyFont="1"/>
    <xf numFmtId="166" fontId="14" fillId="0" borderId="7" xfId="0" applyNumberFormat="1" applyFont="1" applyBorder="1" applyAlignment="1">
      <alignment horizontal="right"/>
    </xf>
    <xf numFmtId="0" fontId="10" fillId="0" borderId="0" xfId="0" applyFont="1" applyAlignment="1">
      <alignment horizontal="left" indent="1"/>
    </xf>
    <xf numFmtId="167" fontId="10" fillId="0" borderId="3" xfId="1" applyNumberFormat="1" applyFont="1" applyBorder="1" applyAlignment="1">
      <alignment horizontal="right"/>
    </xf>
    <xf numFmtId="167" fontId="10" fillId="0" borderId="0" xfId="1" applyNumberFormat="1" applyFont="1" applyBorder="1" applyAlignment="1">
      <alignment horizontal="right"/>
    </xf>
    <xf numFmtId="167" fontId="10" fillId="0" borderId="4" xfId="1" applyNumberFormat="1" applyFont="1" applyBorder="1" applyAlignment="1">
      <alignment horizontal="right"/>
    </xf>
    <xf numFmtId="167" fontId="10" fillId="0" borderId="1" xfId="1" applyNumberFormat="1" applyFont="1" applyBorder="1" applyAlignment="1">
      <alignment horizontal="right"/>
    </xf>
    <xf numFmtId="167" fontId="10" fillId="0" borderId="6" xfId="1" applyNumberFormat="1" applyFont="1" applyBorder="1" applyAlignment="1">
      <alignment horizontal="right"/>
    </xf>
    <xf numFmtId="165" fontId="14" fillId="0" borderId="8" xfId="0" applyNumberFormat="1" applyFont="1" applyBorder="1" applyAlignment="1">
      <alignment horizontal="right"/>
    </xf>
    <xf numFmtId="167" fontId="10" fillId="0" borderId="9" xfId="1" applyNumberFormat="1" applyFont="1" applyBorder="1" applyAlignment="1">
      <alignment horizontal="right"/>
    </xf>
    <xf numFmtId="167" fontId="10" fillId="0" borderId="2" xfId="1" applyNumberFormat="1" applyFont="1" applyBorder="1" applyAlignment="1">
      <alignment horizontal="right"/>
    </xf>
    <xf numFmtId="167" fontId="10" fillId="0" borderId="10" xfId="1" applyNumberFormat="1" applyFont="1" applyBorder="1" applyAlignment="1">
      <alignment horizontal="right"/>
    </xf>
    <xf numFmtId="167" fontId="10" fillId="0" borderId="11" xfId="1" applyNumberFormat="1" applyFont="1" applyBorder="1" applyAlignment="1">
      <alignment horizontal="right"/>
    </xf>
    <xf numFmtId="168" fontId="10" fillId="0" borderId="3" xfId="1" applyNumberFormat="1" applyFont="1" applyBorder="1" applyAlignment="1">
      <alignment horizontal="right"/>
    </xf>
    <xf numFmtId="168" fontId="10" fillId="0" borderId="5" xfId="1" applyNumberFormat="1" applyFont="1" applyBorder="1" applyAlignment="1">
      <alignment horizontal="right"/>
    </xf>
    <xf numFmtId="168" fontId="10" fillId="0" borderId="11" xfId="1" applyNumberFormat="1" applyFont="1" applyBorder="1" applyAlignment="1">
      <alignment horizontal="right"/>
    </xf>
    <xf numFmtId="168" fontId="10" fillId="0" borderId="1" xfId="1" applyNumberFormat="1" applyFont="1" applyBorder="1" applyAlignment="1">
      <alignment horizontal="right"/>
    </xf>
    <xf numFmtId="168" fontId="10" fillId="0" borderId="9" xfId="1" applyNumberFormat="1" applyFont="1" applyBorder="1" applyAlignment="1">
      <alignment horizontal="right"/>
    </xf>
    <xf numFmtId="37" fontId="10" fillId="0" borderId="0" xfId="0" applyNumberFormat="1" applyFont="1"/>
    <xf numFmtId="0" fontId="10" fillId="0" borderId="9" xfId="0" applyFont="1" applyBorder="1"/>
    <xf numFmtId="0" fontId="10" fillId="0" borderId="10" xfId="0" applyFont="1" applyBorder="1" applyAlignment="1">
      <alignment horizontal="center"/>
    </xf>
    <xf numFmtId="169" fontId="10" fillId="0" borderId="0" xfId="0" applyNumberFormat="1" applyFont="1" applyAlignment="1">
      <alignment horizontal="right"/>
    </xf>
    <xf numFmtId="169" fontId="10" fillId="0" borderId="0" xfId="0" applyNumberFormat="1" applyFont="1"/>
    <xf numFmtId="167" fontId="15" fillId="0" borderId="4" xfId="1" applyNumberFormat="1" applyFont="1" applyBorder="1" applyAlignment="1">
      <alignment horizontal="right"/>
    </xf>
    <xf numFmtId="167" fontId="15" fillId="0" borderId="6" xfId="1" applyNumberFormat="1" applyFont="1" applyBorder="1" applyAlignment="1">
      <alignment horizontal="right"/>
    </xf>
    <xf numFmtId="170" fontId="10" fillId="0" borderId="9" xfId="1" applyNumberFormat="1" applyFont="1" applyBorder="1" applyAlignment="1">
      <alignment horizontal="right"/>
    </xf>
    <xf numFmtId="170" fontId="10" fillId="0" borderId="2" xfId="1" applyNumberFormat="1" applyFont="1" applyBorder="1" applyAlignment="1">
      <alignment horizontal="right"/>
    </xf>
    <xf numFmtId="167" fontId="15" fillId="0" borderId="10" xfId="1" applyNumberFormat="1" applyFont="1" applyBorder="1" applyAlignment="1">
      <alignment horizontal="right"/>
    </xf>
    <xf numFmtId="0" fontId="10" fillId="0" borderId="0" xfId="0" applyFont="1" applyAlignment="1">
      <alignment horizontal="center" vertical="center"/>
    </xf>
    <xf numFmtId="167" fontId="15" fillId="0" borderId="2" xfId="1" applyNumberFormat="1" applyFont="1" applyBorder="1" applyAlignment="1">
      <alignment horizontal="right"/>
    </xf>
    <xf numFmtId="0" fontId="14" fillId="0" borderId="9" xfId="0" applyFont="1" applyBorder="1"/>
    <xf numFmtId="9" fontId="10" fillId="0" borderId="10" xfId="0" applyNumberFormat="1" applyFont="1" applyBorder="1"/>
    <xf numFmtId="0" fontId="10" fillId="0" borderId="12" xfId="0" applyFont="1" applyBorder="1"/>
    <xf numFmtId="0" fontId="10" fillId="0" borderId="5" xfId="0" applyFont="1" applyBorder="1"/>
    <xf numFmtId="0" fontId="10" fillId="0" borderId="6" xfId="0" applyFont="1" applyBorder="1"/>
    <xf numFmtId="0" fontId="11" fillId="2" borderId="0" xfId="0" applyFont="1" applyFill="1" applyAlignment="1">
      <alignment horizontal="left" vertical="center"/>
    </xf>
    <xf numFmtId="0" fontId="10" fillId="0" borderId="3" xfId="0" applyFont="1" applyBorder="1"/>
    <xf numFmtId="10" fontId="10" fillId="0" borderId="4" xfId="0" applyNumberFormat="1" applyFont="1" applyBorder="1"/>
    <xf numFmtId="164" fontId="7" fillId="0" borderId="13" xfId="0" applyNumberFormat="1" applyFont="1" applyBorder="1"/>
    <xf numFmtId="10" fontId="7" fillId="0" borderId="4" xfId="0" applyNumberFormat="1" applyFont="1" applyBorder="1"/>
    <xf numFmtId="10" fontId="10" fillId="0" borderId="4" xfId="1" applyNumberFormat="1" applyFont="1" applyBorder="1"/>
    <xf numFmtId="9" fontId="10" fillId="0" borderId="6" xfId="0" applyNumberFormat="1" applyFont="1" applyBorder="1"/>
    <xf numFmtId="164" fontId="10" fillId="0" borderId="10" xfId="0" applyNumberFormat="1" applyFont="1" applyBorder="1"/>
    <xf numFmtId="0" fontId="7" fillId="0" borderId="4" xfId="0" applyFont="1" applyBorder="1"/>
    <xf numFmtId="10" fontId="7" fillId="0" borderId="6" xfId="0" applyNumberFormat="1" applyFont="1" applyBorder="1"/>
    <xf numFmtId="10" fontId="10" fillId="0" borderId="10" xfId="0" applyNumberFormat="1" applyFont="1" applyBorder="1"/>
    <xf numFmtId="165" fontId="14" fillId="0" borderId="0" xfId="0" applyNumberFormat="1" applyFont="1" applyAlignment="1">
      <alignment horizontal="right"/>
    </xf>
    <xf numFmtId="166" fontId="14" fillId="0" borderId="0" xfId="0" applyNumberFormat="1" applyFont="1" applyAlignment="1">
      <alignment horizontal="right"/>
    </xf>
    <xf numFmtId="167" fontId="10" fillId="0" borderId="14" xfId="1" applyNumberFormat="1" applyFont="1" applyBorder="1" applyAlignment="1">
      <alignment horizontal="right"/>
    </xf>
    <xf numFmtId="167" fontId="10" fillId="0" borderId="15" xfId="1" applyNumberFormat="1" applyFont="1" applyBorder="1" applyAlignment="1">
      <alignment horizontal="right"/>
    </xf>
    <xf numFmtId="167" fontId="10" fillId="0" borderId="16" xfId="1" applyNumberFormat="1" applyFont="1" applyBorder="1" applyAlignment="1">
      <alignment horizontal="right"/>
    </xf>
    <xf numFmtId="0" fontId="14" fillId="0" borderId="2" xfId="0" applyFont="1" applyBorder="1"/>
    <xf numFmtId="0" fontId="14" fillId="0" borderId="10" xfId="0" applyFont="1" applyBorder="1"/>
    <xf numFmtId="165" fontId="14" fillId="0" borderId="9" xfId="0" applyNumberFormat="1" applyFont="1" applyBorder="1" applyAlignment="1">
      <alignment horizontal="right"/>
    </xf>
    <xf numFmtId="0" fontId="10" fillId="0" borderId="0" xfId="0" applyFont="1" applyAlignment="1">
      <alignment horizontal="left" indent="8"/>
    </xf>
    <xf numFmtId="164" fontId="6" fillId="0" borderId="0" xfId="0" applyNumberFormat="1" applyFont="1" applyAlignment="1">
      <alignment vertical="top"/>
    </xf>
    <xf numFmtId="37" fontId="6" fillId="0" borderId="0" xfId="0" applyNumberFormat="1" applyFont="1" applyAlignment="1">
      <alignment vertical="top"/>
    </xf>
    <xf numFmtId="37" fontId="15" fillId="0" borderId="0" xfId="0" applyNumberFormat="1" applyFont="1" applyAlignment="1">
      <alignment vertical="top"/>
    </xf>
    <xf numFmtId="171" fontId="6" fillId="0" borderId="0" xfId="0" applyNumberFormat="1" applyFont="1" applyAlignment="1">
      <alignment vertical="top"/>
    </xf>
    <xf numFmtId="0" fontId="0" fillId="0" borderId="18" xfId="0" applyBorder="1"/>
    <xf numFmtId="0" fontId="0" fillId="0" borderId="19" xfId="0" applyBorder="1"/>
    <xf numFmtId="0" fontId="0" fillId="0" borderId="21" xfId="0" applyBorder="1"/>
    <xf numFmtId="0" fontId="0" fillId="0" borderId="23" xfId="0" applyBorder="1"/>
    <xf numFmtId="0" fontId="0" fillId="0" borderId="24" xfId="0" applyBorder="1"/>
    <xf numFmtId="0" fontId="17" fillId="0" borderId="18" xfId="0" applyFont="1" applyBorder="1" applyAlignment="1">
      <alignment horizontal="left"/>
    </xf>
    <xf numFmtId="0" fontId="16" fillId="0" borderId="0" xfId="0" applyFont="1" applyAlignment="1">
      <alignment horizontal="center"/>
    </xf>
    <xf numFmtId="0" fontId="0" fillId="0" borderId="20" xfId="0" applyBorder="1" applyAlignment="1">
      <alignment horizontal="left" indent="1"/>
    </xf>
    <xf numFmtId="0" fontId="0" fillId="0" borderId="22" xfId="0" applyBorder="1" applyAlignment="1">
      <alignment horizontal="left" indent="1"/>
    </xf>
    <xf numFmtId="0" fontId="2" fillId="0" borderId="0" xfId="0" applyFont="1" applyAlignment="1">
      <alignment vertical="top"/>
    </xf>
    <xf numFmtId="0" fontId="18" fillId="0" borderId="17" xfId="0" applyFont="1" applyBorder="1" applyAlignment="1">
      <alignment horizontal="left" indent="1"/>
    </xf>
    <xf numFmtId="0" fontId="18" fillId="0" borderId="18" xfId="0" applyFont="1" applyBorder="1" applyAlignment="1">
      <alignment horizontal="left"/>
    </xf>
    <xf numFmtId="0" fontId="19" fillId="0" borderId="20" xfId="0" applyFont="1" applyBorder="1" applyAlignment="1">
      <alignment horizontal="left" indent="1"/>
    </xf>
    <xf numFmtId="0" fontId="19" fillId="0" borderId="0" xfId="0" applyFont="1" applyAlignment="1">
      <alignment horizontal="center"/>
    </xf>
    <xf numFmtId="0" fontId="19" fillId="0" borderId="0" xfId="0" applyFont="1"/>
    <xf numFmtId="0" fontId="20" fillId="0" borderId="20" xfId="0" applyFont="1" applyBorder="1" applyAlignment="1">
      <alignment horizontal="left" indent="1"/>
    </xf>
    <xf numFmtId="0" fontId="21" fillId="0" borderId="0" xfId="0" applyFont="1"/>
    <xf numFmtId="0" fontId="21" fillId="0" borderId="20" xfId="0" applyFont="1" applyBorder="1" applyAlignment="1">
      <alignment horizontal="left" indent="1"/>
    </xf>
    <xf numFmtId="0" fontId="0" fillId="0" borderId="0" xfId="0" applyAlignment="1">
      <alignment wrapText="1"/>
    </xf>
    <xf numFmtId="0" fontId="0" fillId="0" borderId="1" xfId="0" applyBorder="1" applyAlignment="1">
      <alignment wrapText="1"/>
    </xf>
    <xf numFmtId="0" fontId="0" fillId="0" borderId="0" xfId="0" applyAlignment="1">
      <alignment horizontal="right" wrapText="1"/>
    </xf>
    <xf numFmtId="10" fontId="0" fillId="0" borderId="0" xfId="0" applyNumberFormat="1" applyAlignment="1">
      <alignment wrapText="1"/>
    </xf>
    <xf numFmtId="167" fontId="0" fillId="0" borderId="0" xfId="1" applyNumberFormat="1" applyFont="1" applyAlignment="1">
      <alignment horizontal="right" wrapText="1"/>
    </xf>
    <xf numFmtId="0" fontId="23" fillId="4" borderId="0" xfId="0" applyFont="1" applyFill="1" applyAlignment="1">
      <alignment wrapText="1"/>
    </xf>
    <xf numFmtId="37" fontId="0" fillId="0" borderId="0" xfId="0" applyNumberFormat="1" applyAlignment="1">
      <alignment horizontal="center" wrapText="1"/>
    </xf>
    <xf numFmtId="37" fontId="0" fillId="0" borderId="12" xfId="0" applyNumberFormat="1" applyBorder="1" applyAlignment="1">
      <alignment horizontal="center" wrapText="1"/>
    </xf>
    <xf numFmtId="37" fontId="0" fillId="0" borderId="25" xfId="0" applyNumberFormat="1" applyBorder="1" applyAlignment="1">
      <alignment horizontal="center" wrapText="1"/>
    </xf>
    <xf numFmtId="37" fontId="0" fillId="0" borderId="3" xfId="0" applyNumberFormat="1" applyBorder="1" applyAlignment="1">
      <alignment horizontal="center" wrapText="1"/>
    </xf>
    <xf numFmtId="37" fontId="0" fillId="0" borderId="5" xfId="0" applyNumberFormat="1" applyBorder="1" applyAlignment="1">
      <alignment horizontal="center" wrapText="1"/>
    </xf>
    <xf numFmtId="37" fontId="0" fillId="0" borderId="1" xfId="0" applyNumberFormat="1" applyBorder="1" applyAlignment="1">
      <alignment horizontal="center" wrapText="1"/>
    </xf>
    <xf numFmtId="172" fontId="0" fillId="0" borderId="6" xfId="0" applyNumberFormat="1" applyBorder="1" applyAlignment="1">
      <alignment horizontal="center" wrapText="1"/>
    </xf>
    <xf numFmtId="172" fontId="0" fillId="0" borderId="13" xfId="0" applyNumberFormat="1" applyBorder="1" applyAlignment="1">
      <alignment horizontal="center" wrapText="1"/>
    </xf>
    <xf numFmtId="172" fontId="0" fillId="0" borderId="4" xfId="0" applyNumberFormat="1" applyBorder="1" applyAlignment="1">
      <alignment horizontal="center" wrapText="1"/>
    </xf>
    <xf numFmtId="0" fontId="22" fillId="0" borderId="1" xfId="0" applyFont="1" applyBorder="1" applyAlignment="1">
      <alignment wrapText="1"/>
    </xf>
    <xf numFmtId="0" fontId="22" fillId="0" borderId="0" xfId="0" applyFont="1" applyAlignment="1">
      <alignment wrapText="1"/>
    </xf>
    <xf numFmtId="0" fontId="22" fillId="0" borderId="0" xfId="0" applyFont="1" applyAlignment="1">
      <alignment horizontal="center" wrapText="1"/>
    </xf>
    <xf numFmtId="167" fontId="0" fillId="0" borderId="0" xfId="1" applyNumberFormat="1" applyFont="1" applyAlignment="1">
      <alignment wrapText="1"/>
    </xf>
    <xf numFmtId="10" fontId="0" fillId="0" borderId="0" xfId="1" applyNumberFormat="1" applyFont="1" applyAlignment="1">
      <alignment wrapText="1"/>
    </xf>
    <xf numFmtId="0" fontId="22" fillId="0" borderId="0" xfId="0" applyFont="1"/>
    <xf numFmtId="0" fontId="24" fillId="0" borderId="0" xfId="0" applyFont="1"/>
    <xf numFmtId="0" fontId="22" fillId="0" borderId="1" xfId="0" applyFont="1" applyBorder="1"/>
    <xf numFmtId="2" fontId="23" fillId="0" borderId="0" xfId="0" applyNumberFormat="1" applyFont="1" applyAlignment="1">
      <alignment wrapText="1"/>
    </xf>
    <xf numFmtId="167" fontId="10" fillId="0" borderId="0" xfId="1" applyNumberFormat="1" applyFont="1" applyBorder="1" applyAlignment="1">
      <alignment horizontal="center"/>
    </xf>
    <xf numFmtId="2" fontId="0" fillId="0" borderId="12" xfId="0" applyNumberFormat="1" applyBorder="1" applyAlignment="1">
      <alignment horizontal="center" wrapText="1"/>
    </xf>
    <xf numFmtId="2" fontId="0" fillId="0" borderId="25" xfId="0" applyNumberFormat="1" applyBorder="1" applyAlignment="1">
      <alignment horizontal="center" wrapText="1"/>
    </xf>
    <xf numFmtId="2" fontId="0" fillId="0" borderId="13" xfId="0" applyNumberFormat="1" applyBorder="1" applyAlignment="1">
      <alignment horizontal="center" wrapText="1"/>
    </xf>
    <xf numFmtId="2" fontId="0" fillId="0" borderId="3" xfId="0" applyNumberFormat="1" applyBorder="1" applyAlignment="1">
      <alignment horizontal="center" wrapText="1"/>
    </xf>
    <xf numFmtId="2" fontId="0" fillId="0" borderId="4" xfId="0" applyNumberFormat="1" applyBorder="1" applyAlignment="1">
      <alignment horizontal="center" wrapText="1"/>
    </xf>
    <xf numFmtId="2" fontId="0" fillId="0" borderId="5" xfId="0" applyNumberFormat="1" applyBorder="1" applyAlignment="1">
      <alignment horizontal="center" wrapText="1"/>
    </xf>
    <xf numFmtId="2" fontId="0" fillId="0" borderId="1" xfId="0" applyNumberFormat="1" applyBorder="1" applyAlignment="1">
      <alignment horizontal="center" wrapText="1"/>
    </xf>
    <xf numFmtId="2" fontId="0" fillId="0" borderId="6" xfId="0" applyNumberFormat="1" applyBorder="1" applyAlignment="1">
      <alignment horizontal="center" wrapText="1"/>
    </xf>
    <xf numFmtId="2" fontId="0" fillId="0" borderId="26" xfId="0" applyNumberFormat="1" applyBorder="1" applyAlignment="1">
      <alignment horizontal="center" vertical="top" wrapText="1"/>
    </xf>
    <xf numFmtId="0" fontId="2" fillId="0" borderId="0" xfId="0" applyFont="1"/>
    <xf numFmtId="37" fontId="2" fillId="0" borderId="0" xfId="0" applyNumberFormat="1" applyFont="1"/>
    <xf numFmtId="0" fontId="9" fillId="2" borderId="0" xfId="0" applyFont="1" applyFill="1"/>
    <xf numFmtId="14" fontId="0" fillId="0" borderId="0" xfId="0" applyNumberFormat="1" applyAlignment="1">
      <alignment wrapText="1"/>
    </xf>
    <xf numFmtId="0" fontId="22" fillId="0" borderId="9" xfId="0" applyFont="1" applyBorder="1"/>
    <xf numFmtId="14" fontId="0" fillId="0" borderId="10" xfId="0" applyNumberFormat="1" applyBorder="1" applyAlignment="1">
      <alignment horizontal="left"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Model!$B$34</c:f>
              <c:strCache>
                <c:ptCount val="1"/>
                <c:pt idx="0">
                  <c:v>Revenue</c:v>
                </c:pt>
              </c:strCache>
            </c:strRef>
          </c:tx>
          <c:spPr>
            <a:ln w="28575" cap="rnd">
              <a:solidFill>
                <a:schemeClr val="tx2">
                  <a:lumMod val="50000"/>
                </a:schemeClr>
              </a:solidFill>
              <a:round/>
            </a:ln>
            <a:effectLst/>
          </c:spPr>
          <c:marker>
            <c:symbol val="square"/>
            <c:size val="5"/>
            <c:spPr>
              <a:solidFill>
                <a:schemeClr val="tx1"/>
              </a:solidFill>
              <a:ln>
                <a:solidFill>
                  <a:schemeClr val="tx1"/>
                </a:solidFill>
              </a:ln>
            </c:spPr>
          </c:marker>
          <c:dPt>
            <c:idx val="2"/>
            <c:marker>
              <c:spPr>
                <a:solidFill>
                  <a:schemeClr val="tx1"/>
                </a:solidFill>
                <a:ln w="25400">
                  <a:solidFill>
                    <a:schemeClr val="tx1"/>
                  </a:solidFill>
                </a:ln>
              </c:spPr>
            </c:marker>
            <c:bubble3D val="0"/>
            <c:extLst>
              <c:ext xmlns:c16="http://schemas.microsoft.com/office/drawing/2014/chart" uri="{C3380CC4-5D6E-409C-BE32-E72D297353CC}">
                <c16:uniqueId val="{00000000-068D-F243-BBE4-6147F921517B}"/>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Model!$D$31:$K$31</c:f>
              <c:numCache>
                <c:formatCode>0"A"</c:formatCode>
                <c:ptCount val="8"/>
                <c:pt idx="0">
                  <c:v>2023</c:v>
                </c:pt>
                <c:pt idx="1">
                  <c:v>2024</c:v>
                </c:pt>
                <c:pt idx="2">
                  <c:v>2025</c:v>
                </c:pt>
                <c:pt idx="3" formatCode="0&quot;F&quot;">
                  <c:v>2026</c:v>
                </c:pt>
                <c:pt idx="4" formatCode="0&quot;F&quot;">
                  <c:v>2027</c:v>
                </c:pt>
                <c:pt idx="5" formatCode="0&quot;F&quot;">
                  <c:v>2028</c:v>
                </c:pt>
                <c:pt idx="6" formatCode="0&quot;F&quot;">
                  <c:v>2029</c:v>
                </c:pt>
                <c:pt idx="7" formatCode="0&quot;F&quot;">
                  <c:v>2030</c:v>
                </c:pt>
              </c:numCache>
            </c:numRef>
          </c:cat>
          <c:val>
            <c:numRef>
              <c:f>Model!$D$34:$K$34</c:f>
              <c:numCache>
                <c:formatCode>_("$"* #,##0_);_("$"* \(#,##0\);_("$"* "-"_);_(@_)</c:formatCode>
                <c:ptCount val="8"/>
                <c:pt idx="0">
                  <c:v>33723297</c:v>
                </c:pt>
                <c:pt idx="1">
                  <c:v>39000966</c:v>
                </c:pt>
                <c:pt idx="2">
                  <c:v>45183036</c:v>
                </c:pt>
                <c:pt idx="3">
                  <c:v>51893199.816362709</c:v>
                </c:pt>
                <c:pt idx="4">
                  <c:v>59080962.687553085</c:v>
                </c:pt>
                <c:pt idx="5">
                  <c:v>66673497.920939498</c:v>
                </c:pt>
                <c:pt idx="6">
                  <c:v>74575020.110709801</c:v>
                </c:pt>
                <c:pt idx="7">
                  <c:v>82667206.9397863</c:v>
                </c:pt>
              </c:numCache>
            </c:numRef>
          </c:val>
          <c:smooth val="0"/>
          <c:extLst>
            <c:ext xmlns:c16="http://schemas.microsoft.com/office/drawing/2014/chart" uri="{C3380CC4-5D6E-409C-BE32-E72D297353CC}">
              <c16:uniqueId val="{00000001-068D-F243-BBE4-6147F921517B}"/>
            </c:ext>
          </c:extLst>
        </c:ser>
        <c:ser>
          <c:idx val="1"/>
          <c:order val="1"/>
          <c:tx>
            <c:strRef>
              <c:f>Model!$B$41</c:f>
              <c:strCache>
                <c:ptCount val="1"/>
                <c:pt idx="0">
                  <c:v>EBIT</c:v>
                </c:pt>
              </c:strCache>
            </c:strRef>
          </c:tx>
          <c:spPr>
            <a:ln w="28575" cap="rnd">
              <a:solidFill>
                <a:schemeClr val="tx2">
                  <a:lumMod val="60000"/>
                  <a:lumOff val="40000"/>
                </a:schemeClr>
              </a:solidFill>
              <a:round/>
            </a:ln>
            <a:effectLst/>
          </c:spPr>
          <c:marker>
            <c:symbol val="x"/>
            <c:size val="5"/>
            <c:spPr>
              <a:solidFill>
                <a:schemeClr val="tx1"/>
              </a:solidFill>
              <a:ln>
                <a:noFill/>
              </a:ln>
            </c:spPr>
          </c:marker>
          <c:dPt>
            <c:idx val="2"/>
            <c:marker>
              <c:symbol val="x"/>
              <c:size val="3"/>
              <c:spPr>
                <a:solidFill>
                  <a:schemeClr val="tx1"/>
                </a:solidFill>
                <a:ln w="25400" cap="rnd">
                  <a:noFill/>
                </a:ln>
                <a:effectLst/>
              </c:spPr>
            </c:marker>
            <c:bubble3D val="0"/>
            <c:extLst>
              <c:ext xmlns:c16="http://schemas.microsoft.com/office/drawing/2014/chart" uri="{C3380CC4-5D6E-409C-BE32-E72D297353CC}">
                <c16:uniqueId val="{00000002-068D-F243-BBE4-6147F921517B}"/>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Model!$D$31:$K$31</c:f>
              <c:numCache>
                <c:formatCode>0"A"</c:formatCode>
                <c:ptCount val="8"/>
                <c:pt idx="0">
                  <c:v>2023</c:v>
                </c:pt>
                <c:pt idx="1">
                  <c:v>2024</c:v>
                </c:pt>
                <c:pt idx="2">
                  <c:v>2025</c:v>
                </c:pt>
                <c:pt idx="3" formatCode="0&quot;F&quot;">
                  <c:v>2026</c:v>
                </c:pt>
                <c:pt idx="4" formatCode="0&quot;F&quot;">
                  <c:v>2027</c:v>
                </c:pt>
                <c:pt idx="5" formatCode="0&quot;F&quot;">
                  <c:v>2028</c:v>
                </c:pt>
                <c:pt idx="6" formatCode="0&quot;F&quot;">
                  <c:v>2029</c:v>
                </c:pt>
                <c:pt idx="7" formatCode="0&quot;F&quot;">
                  <c:v>2030</c:v>
                </c:pt>
              </c:numCache>
            </c:numRef>
          </c:cat>
          <c:val>
            <c:numRef>
              <c:f>Model!$D$41:$K$41</c:f>
              <c:numCache>
                <c:formatCode>_("$"* #,##0_);_("$"* \(#,##0\);_("$"* "-"_);_(@_)</c:formatCode>
                <c:ptCount val="8"/>
                <c:pt idx="0">
                  <c:v>6954003</c:v>
                </c:pt>
                <c:pt idx="1">
                  <c:v>10417614</c:v>
                </c:pt>
                <c:pt idx="2">
                  <c:v>13326603</c:v>
                </c:pt>
                <c:pt idx="3">
                  <c:v>15773334.384458115</c:v>
                </c:pt>
                <c:pt idx="4">
                  <c:v>18490464.179177467</c:v>
                </c:pt>
                <c:pt idx="5">
                  <c:v>21467454.080647707</c:v>
                </c:pt>
                <c:pt idx="6">
                  <c:v>24683541.848343365</c:v>
                </c:pt>
                <c:pt idx="7">
                  <c:v>28106850.359527346</c:v>
                </c:pt>
              </c:numCache>
            </c:numRef>
          </c:val>
          <c:smooth val="0"/>
          <c:extLst>
            <c:ext xmlns:c16="http://schemas.microsoft.com/office/drawing/2014/chart" uri="{C3380CC4-5D6E-409C-BE32-E72D297353CC}">
              <c16:uniqueId val="{00000003-068D-F243-BBE4-6147F921517B}"/>
            </c:ext>
          </c:extLst>
        </c:ser>
        <c:dLbls>
          <c:showLegendKey val="0"/>
          <c:showVal val="0"/>
          <c:showCatName val="0"/>
          <c:showSerName val="0"/>
          <c:showPercent val="0"/>
          <c:showBubbleSize val="0"/>
        </c:dLbls>
        <c:marker val="1"/>
        <c:smooth val="0"/>
        <c:axId val="1992185536"/>
        <c:axId val="1992182848"/>
      </c:lineChart>
      <c:catAx>
        <c:axId val="199218553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82848"/>
        <c:crosses val="autoZero"/>
        <c:auto val="1"/>
        <c:lblAlgn val="ctr"/>
        <c:lblOffset val="100"/>
        <c:noMultiLvlLbl val="0"/>
      </c:catAx>
      <c:valAx>
        <c:axId val="1992182848"/>
        <c:scaling>
          <c:orientation val="minMax"/>
        </c:scaling>
        <c:delete val="1"/>
        <c:axPos val="l"/>
        <c:title>
          <c:tx>
            <c:rich>
              <a:bodyPr anchor="ctr" anchorCtr="0"/>
              <a:lstStyle/>
              <a:p>
                <a:pPr>
                  <a:defRPr/>
                </a:pPr>
                <a:r>
                  <a:rPr lang="en-GB"/>
                  <a:t>(in thousands)</a:t>
                </a:r>
              </a:p>
            </c:rich>
          </c:tx>
          <c:layout>
            <c:manualLayout>
              <c:xMode val="edge"/>
              <c:yMode val="edge"/>
              <c:x val="9.5446094000123261E-3"/>
              <c:y val="2.8001093708242514E-2"/>
            </c:manualLayout>
          </c:layout>
          <c:overlay val="0"/>
        </c:title>
        <c:numFmt formatCode="_(&quot;$&quot;* #,##0_);_(&quot;$&quot;* \(#,##0\);_(&quot;$&quot;* &quot;-&quot;_);_(@_)" sourceLinked="1"/>
        <c:majorTickMark val="none"/>
        <c:minorTickMark val="none"/>
        <c:tickLblPos val="nextTo"/>
        <c:crossAx val="1992185536"/>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39A5DEC-F28F-1449-B381-B6B6DE2C79DF}">
          <cx:dataPt idx="0">
            <cx:spPr>
              <a:solidFill>
                <a:srgbClr val="44546A">
                  <a:lumMod val="60000"/>
                  <a:lumOff val="40000"/>
                </a:srgbClr>
              </a:solidFill>
            </cx:spPr>
          </cx:dataPt>
          <cx:dataPt idx="1">
            <cx:spPr>
              <a:solidFill>
                <a:srgbClr val="44546A">
                  <a:lumMod val="75000"/>
                </a:srgbClr>
              </a:solidFill>
            </cx:spPr>
          </cx:dataPt>
          <cx:dataPt idx="2">
            <cx:spPr>
              <a:solidFill>
                <a:srgbClr val="44546A">
                  <a:lumMod val="50000"/>
                </a:srgbClr>
              </a:solidFill>
            </cx:spPr>
          </cx:dataPt>
          <cx:dataLabels pos="ctr">
            <cx:visibility seriesName="0" categoryName="0" value="1"/>
          </cx:dataLabels>
          <cx:dataId val="0"/>
          <cx:layoutPr>
            <cx:subtotals>
              <cx:idx val="2"/>
            </cx:subtotals>
          </cx:layoutPr>
        </cx:series>
      </cx:plotAreaRegion>
      <cx:axis id="0">
        <cx:catScaling gapWidth="0.5"/>
        <cx:tickLabels/>
      </cx:axis>
      <cx:axis id="1">
        <cx:valScaling max="600000000"/>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Drop" dropStyle="combo" dx="15" fmlaLink="$C$3" fmlaRange="Model!$E$85:$E$87" noThreeD="1" sel="2"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xdr:col>
      <xdr:colOff>88900</xdr:colOff>
      <xdr:row>31</xdr:row>
      <xdr:rowOff>63500</xdr:rowOff>
    </xdr:from>
    <xdr:ext cx="10655300" cy="168264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19100" y="7035800"/>
          <a:ext cx="10655300" cy="168264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600">
              <a:latin typeface="Times New Roman" panose="02020603050405020304" pitchFamily="18" charset="0"/>
              <a:cs typeface="Times New Roman" panose="02020603050405020304" pitchFamily="18" charset="0"/>
            </a:rPr>
            <a:t>This model presents a discounted cash flow valuation of </a:t>
          </a:r>
          <a:r>
            <a:rPr lang="en-GB" sz="1600" b="1">
              <a:latin typeface="Times New Roman" panose="02020603050405020304" pitchFamily="18" charset="0"/>
              <a:cs typeface="Times New Roman" panose="02020603050405020304" pitchFamily="18" charset="0"/>
            </a:rPr>
            <a:t>Netflix</a:t>
          </a:r>
          <a:r>
            <a:rPr lang="en-GB" sz="1600">
              <a:latin typeface="Times New Roman" panose="02020603050405020304" pitchFamily="18" charset="0"/>
              <a:cs typeface="Times New Roman" panose="02020603050405020304" pitchFamily="18" charset="0"/>
            </a:rPr>
            <a:t> using unlevered free cash flow to the firm (FCFF). Operating forecasts are driven by explicit assumptions around revenue growth deceleration, operating margin expansion, capital intensity, and working capital dynamics, reflecting Netflix’s transition toward a more mature, cash-generative business. Cash flows are projected over a five-year forecast period and discounted at a base-case WACC of 10.7%, with terminal value estimated using a perpetual growth approach. Sensitivity analysis is applied to key value drivers, including discount rate and terminal growth, to assess valuation robustness. All assumptions are internally consistent and grounded in historical performance, operating leverage, and long-term industry fundamentals.</a:t>
          </a:r>
        </a:p>
      </xdr:txBody>
    </xdr:sp>
    <xdr:clientData/>
  </xdr:oneCellAnchor>
  <xdr:twoCellAnchor editAs="oneCell">
    <xdr:from>
      <xdr:col>12</xdr:col>
      <xdr:colOff>177332</xdr:colOff>
      <xdr:row>1</xdr:row>
      <xdr:rowOff>76200</xdr:rowOff>
    </xdr:from>
    <xdr:to>
      <xdr:col>14</xdr:col>
      <xdr:colOff>393699</xdr:colOff>
      <xdr:row>4</xdr:row>
      <xdr:rowOff>76200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9715032" y="292100"/>
          <a:ext cx="1867367" cy="1244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14</xdr:row>
      <xdr:rowOff>114301</xdr:rowOff>
    </xdr:from>
    <xdr:to>
      <xdr:col>5</xdr:col>
      <xdr:colOff>25400</xdr:colOff>
      <xdr:row>33</xdr:row>
      <xdr:rowOff>177801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8200" y="3289301"/>
              <a:ext cx="5050367" cy="40851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14941</xdr:colOff>
      <xdr:row>37</xdr:row>
      <xdr:rowOff>134469</xdr:rowOff>
    </xdr:from>
    <xdr:to>
      <xdr:col>11</xdr:col>
      <xdr:colOff>0</xdr:colOff>
      <xdr:row>53</xdr:row>
      <xdr:rowOff>66582</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483040</xdr:colOff>
      <xdr:row>14</xdr:row>
      <xdr:rowOff>122744</xdr:rowOff>
    </xdr:from>
    <xdr:to>
      <xdr:col>10</xdr:col>
      <xdr:colOff>24881</xdr:colOff>
      <xdr:row>15</xdr:row>
      <xdr:rowOff>184348</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668208" y="3070542"/>
          <a:ext cx="431230" cy="263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TGV</a:t>
          </a:r>
        </a:p>
      </xdr:txBody>
    </xdr:sp>
    <xdr:clientData/>
  </xdr:twoCellAnchor>
  <xdr:twoCellAnchor>
    <xdr:from>
      <xdr:col>6</xdr:col>
      <xdr:colOff>797547</xdr:colOff>
      <xdr:row>17</xdr:row>
      <xdr:rowOff>42721</xdr:rowOff>
    </xdr:from>
    <xdr:to>
      <xdr:col>7</xdr:col>
      <xdr:colOff>235672</xdr:colOff>
      <xdr:row>19</xdr:row>
      <xdr:rowOff>195023</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rot="16200000">
          <a:off x="7332248" y="3741812"/>
          <a:ext cx="556216" cy="265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WACC</a:t>
          </a:r>
        </a:p>
      </xdr:txBody>
    </xdr:sp>
    <xdr:clientData/>
  </xdr:twoCellAnchor>
  <mc:AlternateContent xmlns:mc="http://schemas.openxmlformats.org/markup-compatibility/2006">
    <mc:Choice xmlns:a14="http://schemas.microsoft.com/office/drawing/2010/main" Requires="a14">
      <xdr:twoCellAnchor editAs="oneCell">
        <xdr:from>
          <xdr:col>1</xdr:col>
          <xdr:colOff>1270000</xdr:colOff>
          <xdr:row>2</xdr:row>
          <xdr:rowOff>25400</xdr:rowOff>
        </xdr:from>
        <xdr:to>
          <xdr:col>3</xdr:col>
          <xdr:colOff>254000</xdr:colOff>
          <xdr:row>3</xdr:row>
          <xdr:rowOff>38100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BF6F-D4E2-0D45-A616-85E5BAE95CDF}">
  <dimension ref="B1:N40"/>
  <sheetViews>
    <sheetView showGridLines="0" view="pageBreakPreview" zoomScale="60" zoomScaleNormal="89" workbookViewId="0">
      <selection activeCell="H24" sqref="H24"/>
    </sheetView>
  </sheetViews>
  <sheetFormatPr baseColWidth="10" defaultRowHeight="16" x14ac:dyDescent="0.2"/>
  <cols>
    <col min="1" max="1" width="4.33203125" customWidth="1"/>
    <col min="2" max="2" width="12.5" customWidth="1"/>
  </cols>
  <sheetData>
    <row r="1" spans="2:14" ht="17" thickBot="1" x14ac:dyDescent="0.25"/>
    <row r="2" spans="2:14" ht="47" x14ac:dyDescent="0.55000000000000004">
      <c r="B2" s="97" t="s">
        <v>56</v>
      </c>
      <c r="C2" s="98"/>
      <c r="D2" s="92"/>
      <c r="E2" s="87"/>
      <c r="F2" s="87"/>
      <c r="G2" s="87"/>
      <c r="H2" s="87"/>
      <c r="I2" s="87"/>
      <c r="J2" s="87"/>
      <c r="K2" s="87"/>
      <c r="L2" s="87"/>
      <c r="M2" s="87"/>
      <c r="N2" s="88"/>
    </row>
    <row r="3" spans="2:14" ht="26" x14ac:dyDescent="0.3">
      <c r="B3" s="99" t="s">
        <v>109</v>
      </c>
      <c r="C3" s="100"/>
      <c r="D3" s="93"/>
      <c r="N3" s="89"/>
    </row>
    <row r="4" spans="2:14" ht="25" x14ac:dyDescent="0.25">
      <c r="B4" s="99" t="s">
        <v>110</v>
      </c>
      <c r="C4" s="101" t="s">
        <v>85</v>
      </c>
      <c r="N4" s="89"/>
    </row>
    <row r="5" spans="2:14" ht="18" x14ac:dyDescent="0.2">
      <c r="B5" s="102"/>
      <c r="C5" s="103"/>
      <c r="N5" s="89"/>
    </row>
    <row r="6" spans="2:14" x14ac:dyDescent="0.2">
      <c r="B6" s="104"/>
      <c r="C6" s="103"/>
      <c r="N6" s="89"/>
    </row>
    <row r="7" spans="2:14" x14ac:dyDescent="0.2">
      <c r="B7" s="104"/>
      <c r="C7" s="103"/>
      <c r="N7" s="89"/>
    </row>
    <row r="8" spans="2:14" x14ac:dyDescent="0.2">
      <c r="B8" s="94"/>
      <c r="N8" s="89"/>
    </row>
    <row r="9" spans="2:14" x14ac:dyDescent="0.2">
      <c r="B9" s="94"/>
      <c r="N9" s="89"/>
    </row>
    <row r="10" spans="2:14" x14ac:dyDescent="0.2">
      <c r="B10" s="94"/>
      <c r="N10" s="89"/>
    </row>
    <row r="11" spans="2:14" x14ac:dyDescent="0.2">
      <c r="B11" s="94"/>
      <c r="N11" s="89"/>
    </row>
    <row r="12" spans="2:14" x14ac:dyDescent="0.2">
      <c r="B12" s="94"/>
      <c r="N12" s="89"/>
    </row>
    <row r="13" spans="2:14" x14ac:dyDescent="0.2">
      <c r="B13" s="94"/>
      <c r="N13" s="89"/>
    </row>
    <row r="14" spans="2:14" x14ac:dyDescent="0.2">
      <c r="B14" s="94"/>
      <c r="N14" s="89"/>
    </row>
    <row r="15" spans="2:14" x14ac:dyDescent="0.2">
      <c r="B15" s="94"/>
      <c r="N15" s="89"/>
    </row>
    <row r="16" spans="2:14" x14ac:dyDescent="0.2">
      <c r="B16" s="94"/>
      <c r="N16" s="89"/>
    </row>
    <row r="17" spans="2:14" x14ac:dyDescent="0.2">
      <c r="B17" s="94"/>
      <c r="N17" s="89"/>
    </row>
    <row r="18" spans="2:14" x14ac:dyDescent="0.2">
      <c r="B18" s="94"/>
      <c r="N18" s="89"/>
    </row>
    <row r="19" spans="2:14" x14ac:dyDescent="0.2">
      <c r="B19" s="94"/>
      <c r="N19" s="89"/>
    </row>
    <row r="20" spans="2:14" x14ac:dyDescent="0.2">
      <c r="B20" s="94"/>
      <c r="N20" s="89"/>
    </row>
    <row r="21" spans="2:14" x14ac:dyDescent="0.2">
      <c r="B21" s="94"/>
      <c r="N21" s="89"/>
    </row>
    <row r="22" spans="2:14" x14ac:dyDescent="0.2">
      <c r="B22" s="94"/>
      <c r="N22" s="89"/>
    </row>
    <row r="23" spans="2:14" x14ac:dyDescent="0.2">
      <c r="B23" s="94"/>
      <c r="N23" s="89"/>
    </row>
    <row r="24" spans="2:14" x14ac:dyDescent="0.2">
      <c r="B24" s="94"/>
      <c r="N24" s="89"/>
    </row>
    <row r="25" spans="2:14" x14ac:dyDescent="0.2">
      <c r="B25" s="94"/>
      <c r="N25" s="89"/>
    </row>
    <row r="26" spans="2:14" x14ac:dyDescent="0.2">
      <c r="B26" s="94"/>
      <c r="N26" s="89"/>
    </row>
    <row r="27" spans="2:14" x14ac:dyDescent="0.2">
      <c r="B27" s="94"/>
      <c r="N27" s="89"/>
    </row>
    <row r="28" spans="2:14" x14ac:dyDescent="0.2">
      <c r="B28" s="94"/>
      <c r="N28" s="89"/>
    </row>
    <row r="29" spans="2:14" x14ac:dyDescent="0.2">
      <c r="B29" s="94"/>
      <c r="N29" s="89"/>
    </row>
    <row r="30" spans="2:14" x14ac:dyDescent="0.2">
      <c r="B30" s="94"/>
      <c r="N30" s="89"/>
    </row>
    <row r="31" spans="2:14" x14ac:dyDescent="0.2">
      <c r="B31" s="94"/>
      <c r="N31" s="89"/>
    </row>
    <row r="32" spans="2:14" x14ac:dyDescent="0.2">
      <c r="B32" s="94"/>
      <c r="N32" s="89"/>
    </row>
    <row r="33" spans="2:14" x14ac:dyDescent="0.2">
      <c r="B33" s="94"/>
      <c r="N33" s="89"/>
    </row>
    <row r="34" spans="2:14" x14ac:dyDescent="0.2">
      <c r="B34" s="94"/>
      <c r="N34" s="89"/>
    </row>
    <row r="35" spans="2:14" x14ac:dyDescent="0.2">
      <c r="B35" s="94"/>
      <c r="N35" s="89"/>
    </row>
    <row r="36" spans="2:14" x14ac:dyDescent="0.2">
      <c r="B36" s="94"/>
      <c r="N36" s="89"/>
    </row>
    <row r="37" spans="2:14" x14ac:dyDescent="0.2">
      <c r="B37" s="94"/>
      <c r="N37" s="89"/>
    </row>
    <row r="38" spans="2:14" x14ac:dyDescent="0.2">
      <c r="B38" s="94"/>
      <c r="N38" s="89"/>
    </row>
    <row r="39" spans="2:14" x14ac:dyDescent="0.2">
      <c r="B39" s="94"/>
      <c r="N39" s="89"/>
    </row>
    <row r="40" spans="2:14" ht="17" thickBot="1" x14ac:dyDescent="0.25">
      <c r="B40" s="95"/>
      <c r="C40" s="90"/>
      <c r="D40" s="90"/>
      <c r="E40" s="90"/>
      <c r="F40" s="90"/>
      <c r="G40" s="90"/>
      <c r="H40" s="90"/>
      <c r="I40" s="90"/>
      <c r="J40" s="90"/>
      <c r="K40" s="90"/>
      <c r="L40" s="90"/>
      <c r="M40" s="90"/>
      <c r="N40" s="91"/>
    </row>
  </sheetData>
  <pageMargins left="0.7" right="0.7" top="0.75" bottom="0.75" header="0.3" footer="0.3"/>
  <pageSetup scale="54"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E159-4294-0A46-BA56-12C31EA4D80B}">
  <dimension ref="A1:K37"/>
  <sheetViews>
    <sheetView showGridLines="0" zoomScale="69" zoomScaleNormal="86" workbookViewId="0">
      <selection activeCell="R21" sqref="R21"/>
    </sheetView>
  </sheetViews>
  <sheetFormatPr baseColWidth="10" defaultRowHeight="16" x14ac:dyDescent="0.2"/>
  <cols>
    <col min="1" max="1" width="10.83203125" style="105"/>
    <col min="2" max="2" width="17.5" style="105" customWidth="1"/>
    <col min="3" max="3" width="16.1640625" style="105" customWidth="1"/>
    <col min="4" max="4" width="16" style="105" customWidth="1"/>
    <col min="5" max="5" width="16.33203125" style="105" customWidth="1"/>
    <col min="6" max="6" width="12.33203125" style="105" customWidth="1"/>
    <col min="7" max="8" width="10.33203125" style="105" customWidth="1"/>
    <col min="9" max="11" width="11.6640625" style="105" bestFit="1" customWidth="1"/>
    <col min="12" max="16384" width="10.83203125" style="105"/>
  </cols>
  <sheetData>
    <row r="1" spans="1:11" ht="33" x14ac:dyDescent="0.2">
      <c r="A1" s="63" t="s">
        <v>56</v>
      </c>
      <c r="B1" s="22"/>
      <c r="C1" s="22"/>
      <c r="D1" s="22"/>
      <c r="E1" s="22"/>
      <c r="F1" s="22"/>
      <c r="G1" s="22"/>
      <c r="H1" s="22"/>
      <c r="I1" s="22"/>
      <c r="J1" s="22"/>
      <c r="K1" s="22"/>
    </row>
    <row r="3" spans="1:11" ht="17" x14ac:dyDescent="0.2">
      <c r="B3" s="105" t="s">
        <v>125</v>
      </c>
      <c r="C3" s="105">
        <v>2</v>
      </c>
      <c r="E3" s="143" t="s">
        <v>129</v>
      </c>
      <c r="F3" s="144">
        <v>46024</v>
      </c>
      <c r="H3" s="126" t="s">
        <v>126</v>
      </c>
    </row>
    <row r="5" spans="1:11" ht="17" x14ac:dyDescent="0.2">
      <c r="B5" s="120" t="s">
        <v>112</v>
      </c>
      <c r="C5" s="106"/>
      <c r="D5" s="106"/>
      <c r="E5" s="106"/>
      <c r="H5" s="127" t="s">
        <v>117</v>
      </c>
      <c r="I5" s="106"/>
      <c r="J5" s="106"/>
      <c r="K5" s="106"/>
    </row>
    <row r="7" spans="1:11" ht="17" x14ac:dyDescent="0.2">
      <c r="B7" s="110">
        <f>Model!K104</f>
        <v>408665670.32913446</v>
      </c>
      <c r="C7" s="122" t="s">
        <v>103</v>
      </c>
      <c r="D7" s="122" t="s">
        <v>106</v>
      </c>
      <c r="E7" s="122" t="s">
        <v>116</v>
      </c>
      <c r="H7" s="125" t="s">
        <v>118</v>
      </c>
      <c r="J7" s="109">
        <f>Model!G22</f>
        <v>2.5000000000000001E-2</v>
      </c>
    </row>
    <row r="8" spans="1:11" ht="17" x14ac:dyDescent="0.2">
      <c r="B8" s="121" t="s">
        <v>113</v>
      </c>
      <c r="C8" s="112">
        <v>491823339.62695122</v>
      </c>
      <c r="D8" s="113">
        <v>486394184.62695122</v>
      </c>
      <c r="E8" s="118">
        <v>111.97272672433527</v>
      </c>
      <c r="H8" s="125" t="s">
        <v>61</v>
      </c>
      <c r="J8" s="108">
        <f>Model!G17</f>
        <v>0.10654014660563262</v>
      </c>
    </row>
    <row r="9" spans="1:11" ht="17" x14ac:dyDescent="0.2">
      <c r="B9" s="121" t="s">
        <v>114</v>
      </c>
      <c r="C9" s="114">
        <v>403236515.32913446</v>
      </c>
      <c r="D9" s="111">
        <v>403236515.32913446</v>
      </c>
      <c r="E9" s="119">
        <v>92.829013099431194</v>
      </c>
      <c r="H9" s="125" t="s">
        <v>119</v>
      </c>
      <c r="J9" s="107" t="s">
        <v>120</v>
      </c>
    </row>
    <row r="10" spans="1:11" ht="17" x14ac:dyDescent="0.2">
      <c r="B10" s="121" t="s">
        <v>115</v>
      </c>
      <c r="C10" s="115">
        <v>343321276.09782219</v>
      </c>
      <c r="D10" s="116">
        <v>337892121.09782219</v>
      </c>
      <c r="E10" s="117">
        <v>77.786090651989298</v>
      </c>
      <c r="H10" s="125" t="s">
        <v>121</v>
      </c>
      <c r="J10" s="105">
        <v>85.76</v>
      </c>
    </row>
    <row r="11" spans="1:11" x14ac:dyDescent="0.2">
      <c r="C11" s="111"/>
      <c r="H11" s="125" t="s">
        <v>129</v>
      </c>
      <c r="J11" s="142">
        <v>46024</v>
      </c>
    </row>
    <row r="12" spans="1:11" x14ac:dyDescent="0.2">
      <c r="H12" s="123"/>
    </row>
    <row r="13" spans="1:11" x14ac:dyDescent="0.2">
      <c r="H13" s="124"/>
      <c r="I13" s="123"/>
    </row>
    <row r="14" spans="1:11" x14ac:dyDescent="0.2">
      <c r="B14" s="127" t="s">
        <v>122</v>
      </c>
      <c r="C14" s="106"/>
      <c r="D14" s="106"/>
      <c r="E14" s="106"/>
      <c r="H14" s="127" t="s">
        <v>123</v>
      </c>
      <c r="I14" s="106"/>
      <c r="J14" s="106"/>
      <c r="K14" s="106"/>
    </row>
    <row r="17" spans="8:11" x14ac:dyDescent="0.2">
      <c r="H17" s="128"/>
      <c r="I17" s="129">
        <f>Model!D21</f>
        <v>0.02</v>
      </c>
      <c r="J17" s="129">
        <f>Model!D22</f>
        <v>2.5000000000000001E-2</v>
      </c>
      <c r="K17" s="129">
        <f>Model!D23</f>
        <v>0.03</v>
      </c>
    </row>
    <row r="18" spans="8:11" x14ac:dyDescent="0.2">
      <c r="H18" s="32">
        <f>Model!D16</f>
        <v>0.11186715393591425</v>
      </c>
      <c r="I18" s="130">
        <v>77.8</v>
      </c>
      <c r="J18" s="131">
        <v>80.59</v>
      </c>
      <c r="K18" s="132">
        <v>83.74</v>
      </c>
    </row>
    <row r="19" spans="8:11" x14ac:dyDescent="0.2">
      <c r="H19" s="32">
        <f>Model!D17</f>
        <v>0.10654014660563262</v>
      </c>
      <c r="I19" s="133">
        <v>89.25</v>
      </c>
      <c r="J19" s="138">
        <v>92.8</v>
      </c>
      <c r="K19" s="134">
        <v>96.87</v>
      </c>
    </row>
    <row r="20" spans="8:11" x14ac:dyDescent="0.2">
      <c r="H20" s="32">
        <f>Model!D18</f>
        <v>0.10121313927535099</v>
      </c>
      <c r="I20" s="135">
        <v>102.23</v>
      </c>
      <c r="J20" s="136">
        <v>106.78</v>
      </c>
      <c r="K20" s="137">
        <v>112</v>
      </c>
    </row>
    <row r="37" spans="2:11" ht="17" x14ac:dyDescent="0.2">
      <c r="B37" s="120" t="s">
        <v>124</v>
      </c>
      <c r="C37" s="106"/>
      <c r="D37" s="106"/>
      <c r="E37" s="106"/>
      <c r="F37" s="120"/>
      <c r="G37" s="106"/>
      <c r="H37" s="106"/>
      <c r="I37" s="106"/>
      <c r="J37" s="120"/>
      <c r="K37" s="106"/>
    </row>
  </sheetData>
  <pageMargins left="0.7" right="0.7" top="0.75" bottom="0.75" header="0.3" footer="0.3"/>
  <pageSetup scale="54"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1</xdr:col>
                    <xdr:colOff>1270000</xdr:colOff>
                    <xdr:row>2</xdr:row>
                    <xdr:rowOff>25400</xdr:rowOff>
                  </from>
                  <to>
                    <xdr:col>3</xdr:col>
                    <xdr:colOff>254000</xdr:colOff>
                    <xdr:row>3</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5AAF-0934-FD49-B04B-DC98AE0D22C2}">
  <dimension ref="A1:M110"/>
  <sheetViews>
    <sheetView showGridLines="0" tabSelected="1" topLeftCell="A63" zoomScale="92" zoomScaleNormal="100" workbookViewId="0">
      <selection activeCell="K22" sqref="K22"/>
    </sheetView>
  </sheetViews>
  <sheetFormatPr baseColWidth="10" defaultColWidth="12.6640625" defaultRowHeight="14" x14ac:dyDescent="0.15"/>
  <cols>
    <col min="1" max="1" width="3.83203125" style="56" customWidth="1"/>
    <col min="2" max="2" width="18.5" style="23" customWidth="1"/>
    <col min="3" max="3" width="17.5" style="23" customWidth="1"/>
    <col min="4" max="10" width="15.83203125" style="23" customWidth="1"/>
    <col min="11" max="11" width="18" style="23" customWidth="1"/>
    <col min="12" max="16384" width="12.6640625" style="23"/>
  </cols>
  <sheetData>
    <row r="1" spans="1:13" ht="34" customHeight="1" x14ac:dyDescent="0.15">
      <c r="A1" s="63" t="s">
        <v>56</v>
      </c>
      <c r="B1" s="22"/>
      <c r="C1" s="22"/>
      <c r="D1" s="22"/>
      <c r="E1" s="22"/>
      <c r="F1" s="22"/>
      <c r="G1" s="22"/>
      <c r="H1" s="22"/>
      <c r="I1" s="22"/>
      <c r="J1" s="22"/>
      <c r="K1" s="22"/>
    </row>
    <row r="3" spans="1:13" x14ac:dyDescent="0.15">
      <c r="A3" s="56" t="s">
        <v>57</v>
      </c>
      <c r="B3" s="24" t="s">
        <v>59</v>
      </c>
      <c r="C3" s="25"/>
      <c r="D3" s="26"/>
      <c r="E3" s="26"/>
      <c r="F3" s="26"/>
      <c r="G3" s="26"/>
      <c r="H3" s="26"/>
      <c r="I3" s="26"/>
      <c r="J3" s="26"/>
      <c r="K3" s="26"/>
      <c r="L3" s="27"/>
      <c r="M3" s="27"/>
    </row>
    <row r="4" spans="1:13" ht="15" thickBot="1" x14ac:dyDescent="0.2">
      <c r="G4" s="82">
        <v>1</v>
      </c>
      <c r="H4" s="82">
        <f>G4+1</f>
        <v>2</v>
      </c>
      <c r="I4" s="82">
        <f t="shared" ref="I4:K4" si="0">H4+1</f>
        <v>3</v>
      </c>
      <c r="J4" s="82">
        <f t="shared" si="0"/>
        <v>4</v>
      </c>
      <c r="K4" s="82">
        <f t="shared" si="0"/>
        <v>5</v>
      </c>
      <c r="L4" s="27"/>
      <c r="M4" s="27"/>
    </row>
    <row r="5" spans="1:13" ht="16" thickTop="1" thickBot="1" x14ac:dyDescent="0.2">
      <c r="B5" s="28" t="s">
        <v>53</v>
      </c>
      <c r="D5" s="36">
        <f>Statements!F4</f>
        <v>2023</v>
      </c>
      <c r="E5" s="36">
        <f>Statements!G4</f>
        <v>2024</v>
      </c>
      <c r="F5" s="36">
        <f>E5+1</f>
        <v>2025</v>
      </c>
      <c r="G5" s="29">
        <f t="shared" ref="G5:K5" si="1">F5+1</f>
        <v>2026</v>
      </c>
      <c r="H5" s="29">
        <f t="shared" si="1"/>
        <v>2027</v>
      </c>
      <c r="I5" s="29">
        <f t="shared" si="1"/>
        <v>2028</v>
      </c>
      <c r="J5" s="29">
        <f t="shared" si="1"/>
        <v>2029</v>
      </c>
      <c r="K5" s="29">
        <f t="shared" si="1"/>
        <v>2030</v>
      </c>
      <c r="L5" s="27"/>
      <c r="M5" s="27"/>
    </row>
    <row r="6" spans="1:13" ht="15" thickTop="1" x14ac:dyDescent="0.15">
      <c r="B6" s="30" t="s">
        <v>55</v>
      </c>
      <c r="D6" s="41">
        <v>0</v>
      </c>
      <c r="E6" s="40">
        <f>E7*0.95</f>
        <v>0.14867423994753537</v>
      </c>
      <c r="F6" s="32">
        <f t="shared" ref="F6:K6" si="2">F7*0.95</f>
        <v>0.15058515473693651</v>
      </c>
      <c r="G6" s="32">
        <f t="shared" si="2"/>
        <v>0.1410851547369365</v>
      </c>
      <c r="H6" s="32">
        <f t="shared" si="2"/>
        <v>0.13158515473693649</v>
      </c>
      <c r="I6" s="32">
        <f t="shared" si="2"/>
        <v>0.12208515473693647</v>
      </c>
      <c r="J6" s="32">
        <f t="shared" si="2"/>
        <v>0.11258515473693648</v>
      </c>
      <c r="K6" s="33">
        <f t="shared" si="2"/>
        <v>0.10308515473693648</v>
      </c>
      <c r="L6" s="27"/>
      <c r="M6" s="27"/>
    </row>
    <row r="7" spans="1:13" x14ac:dyDescent="0.15">
      <c r="B7" s="30" t="s">
        <v>52</v>
      </c>
      <c r="D7" s="41">
        <v>0</v>
      </c>
      <c r="E7" s="32">
        <f>(Statements!G5-Statements!F5)/Statements!F5</f>
        <v>0.15649919994477407</v>
      </c>
      <c r="F7" s="32">
        <f>(Statements!H5-Statements!G5)/Statements!G5</f>
        <v>0.15851068919677527</v>
      </c>
      <c r="G7" s="32">
        <f>F7-1%</f>
        <v>0.14851068919677526</v>
      </c>
      <c r="H7" s="32">
        <f t="shared" ref="H7:K7" si="3">G7-1%</f>
        <v>0.13851068919677526</v>
      </c>
      <c r="I7" s="32">
        <f t="shared" si="3"/>
        <v>0.12851068919677525</v>
      </c>
      <c r="J7" s="32">
        <f t="shared" si="3"/>
        <v>0.11851068919677525</v>
      </c>
      <c r="K7" s="33">
        <f t="shared" si="3"/>
        <v>0.10851068919677526</v>
      </c>
      <c r="L7" s="27"/>
      <c r="M7" s="27"/>
    </row>
    <row r="8" spans="1:13" x14ac:dyDescent="0.15">
      <c r="B8" s="30" t="s">
        <v>54</v>
      </c>
      <c r="D8" s="42">
        <v>0</v>
      </c>
      <c r="E8" s="34">
        <f>E7*1.05</f>
        <v>0.16432415994201277</v>
      </c>
      <c r="F8" s="34">
        <f t="shared" ref="F8:K8" si="4">F7*1.05</f>
        <v>0.16643622365661404</v>
      </c>
      <c r="G8" s="34">
        <f t="shared" si="4"/>
        <v>0.15593622365661403</v>
      </c>
      <c r="H8" s="34">
        <f t="shared" si="4"/>
        <v>0.14543622365661402</v>
      </c>
      <c r="I8" s="34">
        <f t="shared" si="4"/>
        <v>0.13493622365661401</v>
      </c>
      <c r="J8" s="34">
        <f t="shared" si="4"/>
        <v>0.12443622365661403</v>
      </c>
      <c r="K8" s="35">
        <f t="shared" si="4"/>
        <v>0.11393622365661403</v>
      </c>
      <c r="L8" s="27"/>
      <c r="M8" s="27"/>
    </row>
    <row r="9" spans="1:13" ht="15" thickBot="1" x14ac:dyDescent="0.2">
      <c r="D9" s="27"/>
      <c r="E9" s="27"/>
      <c r="F9" s="27"/>
      <c r="G9" s="27"/>
      <c r="H9" s="27"/>
      <c r="I9" s="27"/>
      <c r="J9" s="27"/>
      <c r="K9" s="27"/>
      <c r="L9" s="27"/>
      <c r="M9" s="27"/>
    </row>
    <row r="10" spans="1:13" ht="16" thickTop="1" thickBot="1" x14ac:dyDescent="0.2">
      <c r="B10" s="28" t="s">
        <v>65</v>
      </c>
      <c r="D10" s="36">
        <f>D5</f>
        <v>2023</v>
      </c>
      <c r="E10" s="36">
        <f>E5</f>
        <v>2024</v>
      </c>
      <c r="F10" s="36">
        <f t="shared" ref="F10:K10" si="5">F5</f>
        <v>2025</v>
      </c>
      <c r="G10" s="29">
        <f t="shared" si="5"/>
        <v>2026</v>
      </c>
      <c r="H10" s="29">
        <f t="shared" si="5"/>
        <v>2027</v>
      </c>
      <c r="I10" s="29">
        <f t="shared" si="5"/>
        <v>2028</v>
      </c>
      <c r="J10" s="29">
        <f t="shared" si="5"/>
        <v>2029</v>
      </c>
      <c r="K10" s="29">
        <f t="shared" si="5"/>
        <v>2030</v>
      </c>
      <c r="L10" s="27"/>
      <c r="M10" s="27"/>
    </row>
    <row r="11" spans="1:13" ht="15" thickTop="1" x14ac:dyDescent="0.15">
      <c r="B11" s="30" t="s">
        <v>55</v>
      </c>
      <c r="D11" s="41">
        <v>0</v>
      </c>
      <c r="E11" s="43">
        <v>0</v>
      </c>
      <c r="F11" s="32">
        <f>F12*0.95</f>
        <v>0.2801996937523189</v>
      </c>
      <c r="G11" s="32">
        <f xml:space="preserve"> $F11 + ( $K11 - $F11 )*(1/5)</f>
        <v>0.28515975500185514</v>
      </c>
      <c r="H11" s="32">
        <f xml:space="preserve"> $F11 + ( $K11 - $F11 )*(2/5)</f>
        <v>0.29011981625139133</v>
      </c>
      <c r="I11" s="32">
        <f xml:space="preserve"> $F11 + ( $K11 - $F11 )*(3/5)</f>
        <v>0.29507987750092757</v>
      </c>
      <c r="J11" s="32">
        <f xml:space="preserve"> $F11 + ( $K11 - $F11 )*(4/5)</f>
        <v>0.30003993875046375</v>
      </c>
      <c r="K11" s="51">
        <v>0.30499999999999999</v>
      </c>
      <c r="L11" s="27"/>
      <c r="M11" s="27"/>
    </row>
    <row r="12" spans="1:13" x14ac:dyDescent="0.15">
      <c r="B12" s="30" t="s">
        <v>52</v>
      </c>
      <c r="D12" s="31">
        <f>Statements!F10/Statements!F5</f>
        <v>0.20620768485358951</v>
      </c>
      <c r="E12" s="32">
        <f>Statements!G10/Statements!G5</f>
        <v>0.26711169154117875</v>
      </c>
      <c r="F12" s="32">
        <f>Statements!H10/Statements!H5</f>
        <v>0.29494704605507255</v>
      </c>
      <c r="G12" s="32">
        <f xml:space="preserve"> $F$12 + ( $K$12 - $F$12 )*(1/5)</f>
        <v>0.30395763684405802</v>
      </c>
      <c r="H12" s="32">
        <f xml:space="preserve"> $F$12 + ( $K$12 - $F$12 )*(2/5)</f>
        <v>0.31296822763304355</v>
      </c>
      <c r="I12" s="32">
        <f xml:space="preserve"> $F$12 + ( $K$12 - $F$12 )*(3/5)</f>
        <v>0.32197881842202902</v>
      </c>
      <c r="J12" s="32">
        <f xml:space="preserve"> $F$12 + ( $K$12 - $F$12 )*(4/5)</f>
        <v>0.33098940921101455</v>
      </c>
      <c r="K12" s="51">
        <v>0.34</v>
      </c>
      <c r="L12" s="27"/>
      <c r="M12" s="27"/>
    </row>
    <row r="13" spans="1:13" x14ac:dyDescent="0.15">
      <c r="B13" s="30" t="s">
        <v>54</v>
      </c>
      <c r="D13" s="42">
        <v>0</v>
      </c>
      <c r="E13" s="44">
        <v>0</v>
      </c>
      <c r="F13" s="34">
        <f>F12*1.05</f>
        <v>0.30969439835782619</v>
      </c>
      <c r="G13" s="34">
        <f xml:space="preserve"> $F13 + ( $K13 - $F13 )*(1/5)</f>
        <v>0.32175551868626096</v>
      </c>
      <c r="H13" s="34">
        <f xml:space="preserve"> $F13 + ( $K13 - $F13 )*(2/5)</f>
        <v>0.33381663901469572</v>
      </c>
      <c r="I13" s="34">
        <f xml:space="preserve"> $F13 + ( $K13 - $F13 )*(3/5)</f>
        <v>0.34587775934313048</v>
      </c>
      <c r="J13" s="34">
        <f xml:space="preserve"> $F13 + ( $K13 - $F13 )*(4/5)</f>
        <v>0.35793887967156524</v>
      </c>
      <c r="K13" s="52">
        <v>0.37</v>
      </c>
      <c r="L13" s="27"/>
      <c r="M13" s="27"/>
    </row>
    <row r="14" spans="1:13" x14ac:dyDescent="0.15">
      <c r="D14" s="27"/>
      <c r="E14" s="27"/>
      <c r="F14" s="27"/>
      <c r="G14" s="27"/>
      <c r="H14" s="27"/>
      <c r="I14" s="27"/>
      <c r="J14" s="27"/>
      <c r="K14" s="27"/>
      <c r="L14" s="27"/>
      <c r="M14" s="27"/>
    </row>
    <row r="15" spans="1:13" ht="15" thickBot="1" x14ac:dyDescent="0.2">
      <c r="B15" s="28" t="s">
        <v>61</v>
      </c>
      <c r="D15" s="74"/>
      <c r="E15" s="74"/>
      <c r="G15" s="75"/>
      <c r="H15" s="75"/>
      <c r="I15" s="75"/>
      <c r="J15" s="75"/>
      <c r="K15" s="75"/>
      <c r="L15" s="27"/>
      <c r="M15" s="27"/>
    </row>
    <row r="16" spans="1:13" ht="15" thickTop="1" x14ac:dyDescent="0.15">
      <c r="B16" s="30" t="s">
        <v>55</v>
      </c>
      <c r="D16" s="78">
        <f>D17*1.05</f>
        <v>0.11186715393591425</v>
      </c>
      <c r="E16" s="32"/>
      <c r="F16" s="32"/>
      <c r="G16" s="32"/>
      <c r="H16" s="32"/>
      <c r="I16" s="32"/>
      <c r="J16" s="32"/>
      <c r="K16" s="32"/>
      <c r="L16" s="27"/>
      <c r="M16" s="27"/>
    </row>
    <row r="17" spans="1:13" x14ac:dyDescent="0.15">
      <c r="B17" s="30" t="s">
        <v>52</v>
      </c>
      <c r="D17" s="76">
        <f>C92</f>
        <v>0.10654014660563262</v>
      </c>
      <c r="E17" s="32"/>
      <c r="F17" s="81" t="s">
        <v>98</v>
      </c>
      <c r="G17" s="39">
        <f>CHOOSE(C29,D16,D17,D18)</f>
        <v>0.10654014660563262</v>
      </c>
      <c r="H17" s="32"/>
      <c r="I17" s="32"/>
      <c r="J17" s="32"/>
      <c r="K17" s="32"/>
      <c r="L17" s="27"/>
      <c r="M17" s="27"/>
    </row>
    <row r="18" spans="1:13" x14ac:dyDescent="0.15">
      <c r="B18" s="30" t="s">
        <v>54</v>
      </c>
      <c r="D18" s="77">
        <f>D17*0.95</f>
        <v>0.10121313927535099</v>
      </c>
      <c r="E18" s="32"/>
      <c r="F18" s="32"/>
      <c r="G18" s="32"/>
      <c r="H18" s="32"/>
      <c r="I18" s="32"/>
      <c r="J18" s="32"/>
      <c r="K18" s="32"/>
      <c r="L18" s="27"/>
      <c r="M18" s="27"/>
    </row>
    <row r="19" spans="1:13" x14ac:dyDescent="0.15">
      <c r="D19" s="27"/>
      <c r="E19" s="32"/>
      <c r="F19" s="32"/>
      <c r="G19" s="32"/>
      <c r="H19" s="32"/>
      <c r="I19" s="32"/>
      <c r="J19" s="32"/>
      <c r="K19" s="32"/>
      <c r="L19" s="27"/>
      <c r="M19" s="27"/>
    </row>
    <row r="20" spans="1:13" ht="15" thickBot="1" x14ac:dyDescent="0.2">
      <c r="B20" s="28" t="s">
        <v>62</v>
      </c>
      <c r="D20" s="36"/>
      <c r="E20" s="32"/>
      <c r="F20" s="32"/>
      <c r="G20" s="32"/>
      <c r="H20" s="32"/>
      <c r="I20" s="32"/>
      <c r="J20" s="32"/>
      <c r="K20" s="32"/>
      <c r="L20" s="27"/>
      <c r="M20" s="27"/>
    </row>
    <row r="21" spans="1:13" ht="15" thickTop="1" x14ac:dyDescent="0.15">
      <c r="B21" s="30" t="s">
        <v>55</v>
      </c>
      <c r="D21" s="78">
        <v>0.02</v>
      </c>
      <c r="E21" s="32"/>
      <c r="F21" s="32"/>
      <c r="G21" s="32"/>
      <c r="H21" s="32"/>
      <c r="I21" s="32"/>
      <c r="J21" s="32"/>
      <c r="K21" s="32"/>
      <c r="L21" s="27"/>
      <c r="M21" s="27"/>
    </row>
    <row r="22" spans="1:13" x14ac:dyDescent="0.15">
      <c r="B22" s="30" t="s">
        <v>52</v>
      </c>
      <c r="D22" s="76">
        <v>2.5000000000000001E-2</v>
      </c>
      <c r="E22" s="32"/>
      <c r="F22" s="81" t="s">
        <v>98</v>
      </c>
      <c r="G22" s="39">
        <f>CHOOSE(C29,D21,D22,D23)</f>
        <v>2.5000000000000001E-2</v>
      </c>
      <c r="H22" s="32"/>
      <c r="I22" s="32"/>
      <c r="J22" s="32"/>
      <c r="K22" s="32"/>
      <c r="L22" s="27"/>
      <c r="M22" s="27"/>
    </row>
    <row r="23" spans="1:13" x14ac:dyDescent="0.15">
      <c r="B23" s="30" t="s">
        <v>54</v>
      </c>
      <c r="D23" s="77">
        <v>0.03</v>
      </c>
      <c r="E23" s="32"/>
      <c r="F23" s="32"/>
      <c r="G23" s="32"/>
      <c r="H23" s="32"/>
      <c r="I23" s="32"/>
      <c r="J23" s="32"/>
      <c r="K23" s="32"/>
      <c r="L23" s="27"/>
      <c r="M23" s="27"/>
    </row>
    <row r="24" spans="1:13" x14ac:dyDescent="0.15">
      <c r="D24" s="27"/>
      <c r="E24" s="32"/>
      <c r="F24" s="32"/>
      <c r="G24" s="32"/>
      <c r="H24" s="32"/>
      <c r="I24" s="32"/>
      <c r="J24" s="32"/>
      <c r="K24" s="32"/>
      <c r="L24" s="27"/>
      <c r="M24" s="27"/>
    </row>
    <row r="25" spans="1:13" x14ac:dyDescent="0.15">
      <c r="A25" s="56" t="s">
        <v>58</v>
      </c>
      <c r="B25" s="58" t="s">
        <v>77</v>
      </c>
      <c r="C25" s="59">
        <v>0.13</v>
      </c>
      <c r="D25" s="27"/>
      <c r="E25" s="27"/>
      <c r="F25" s="27"/>
      <c r="G25" s="27"/>
      <c r="H25" s="27"/>
      <c r="I25" s="27"/>
      <c r="J25" s="27"/>
      <c r="K25" s="27"/>
      <c r="L25" s="27"/>
      <c r="M25" s="27"/>
    </row>
    <row r="26" spans="1:13" x14ac:dyDescent="0.15">
      <c r="L26" s="27"/>
      <c r="M26" s="27"/>
    </row>
    <row r="27" spans="1:13" x14ac:dyDescent="0.15">
      <c r="A27" s="56" t="s">
        <v>57</v>
      </c>
      <c r="B27" s="24" t="s">
        <v>66</v>
      </c>
      <c r="C27" s="25"/>
      <c r="D27" s="26"/>
      <c r="E27" s="26"/>
      <c r="F27" s="26"/>
      <c r="G27" s="26"/>
      <c r="H27" s="26"/>
      <c r="I27" s="26"/>
      <c r="J27" s="26"/>
      <c r="K27" s="26"/>
      <c r="L27" s="27"/>
      <c r="M27" s="27"/>
    </row>
    <row r="28" spans="1:13" x14ac:dyDescent="0.15">
      <c r="D28" s="27"/>
      <c r="E28" s="27"/>
      <c r="F28" s="27"/>
      <c r="G28" s="27"/>
      <c r="H28" s="27"/>
      <c r="I28" s="27"/>
      <c r="J28" s="27"/>
      <c r="K28" s="27"/>
      <c r="L28" s="27"/>
      <c r="M28" s="27"/>
    </row>
    <row r="29" spans="1:13" x14ac:dyDescent="0.15">
      <c r="B29" s="47" t="s">
        <v>64</v>
      </c>
      <c r="C29" s="48">
        <f>Outputs!C3</f>
        <v>2</v>
      </c>
      <c r="D29" s="27"/>
      <c r="E29" s="27"/>
      <c r="F29" s="27"/>
      <c r="G29" s="27"/>
      <c r="H29" s="27"/>
      <c r="I29" s="27"/>
      <c r="J29" s="27"/>
      <c r="K29" s="27"/>
      <c r="L29" s="27"/>
      <c r="M29" s="27"/>
    </row>
    <row r="30" spans="1:13" ht="15" thickBot="1" x14ac:dyDescent="0.2">
      <c r="D30" s="27"/>
      <c r="E30" s="27"/>
      <c r="F30" s="27"/>
      <c r="G30" s="27"/>
      <c r="H30" s="27"/>
      <c r="I30" s="27"/>
      <c r="J30" s="27"/>
      <c r="K30" s="27"/>
      <c r="L30" s="27"/>
      <c r="M30" s="27"/>
    </row>
    <row r="31" spans="1:13" ht="16" thickTop="1" thickBot="1" x14ac:dyDescent="0.2">
      <c r="D31" s="36">
        <f>Statements!F4</f>
        <v>2023</v>
      </c>
      <c r="E31" s="36">
        <f>Statements!G4</f>
        <v>2024</v>
      </c>
      <c r="F31" s="36">
        <f>Statements!H4</f>
        <v>2025</v>
      </c>
      <c r="G31" s="29">
        <f>G5</f>
        <v>2026</v>
      </c>
      <c r="H31" s="29">
        <f>H5</f>
        <v>2027</v>
      </c>
      <c r="I31" s="29">
        <f>I5</f>
        <v>2028</v>
      </c>
      <c r="J31" s="29">
        <f>J5</f>
        <v>2029</v>
      </c>
      <c r="K31" s="29">
        <f>K5</f>
        <v>2030</v>
      </c>
      <c r="L31" s="27"/>
      <c r="M31" s="27"/>
    </row>
    <row r="32" spans="1:13" ht="15" thickTop="1" x14ac:dyDescent="0.15">
      <c r="D32" s="27"/>
      <c r="E32" s="27"/>
      <c r="F32" s="27"/>
      <c r="G32" s="27"/>
      <c r="H32" s="27"/>
      <c r="I32" s="27"/>
      <c r="J32" s="27"/>
      <c r="K32" s="27"/>
      <c r="L32" s="27"/>
      <c r="M32" s="27"/>
    </row>
    <row r="33" spans="1:11" x14ac:dyDescent="0.15">
      <c r="B33" s="23" t="s">
        <v>53</v>
      </c>
      <c r="D33" s="45">
        <f t="shared" ref="D33:K33" si="6">CHOOSE($C$29,D6,D7,D8)</f>
        <v>0</v>
      </c>
      <c r="E33" s="38">
        <f t="shared" si="6"/>
        <v>0.15649919994477407</v>
      </c>
      <c r="F33" s="38">
        <f t="shared" si="6"/>
        <v>0.15851068919677527</v>
      </c>
      <c r="G33" s="38">
        <f t="shared" si="6"/>
        <v>0.14851068919677526</v>
      </c>
      <c r="H33" s="38">
        <f t="shared" si="6"/>
        <v>0.13851068919677526</v>
      </c>
      <c r="I33" s="38">
        <f t="shared" si="6"/>
        <v>0.12851068919677525</v>
      </c>
      <c r="J33" s="38">
        <f t="shared" si="6"/>
        <v>0.11851068919677525</v>
      </c>
      <c r="K33" s="39">
        <f t="shared" si="6"/>
        <v>0.10851068919677526</v>
      </c>
    </row>
    <row r="34" spans="1:11" x14ac:dyDescent="0.15">
      <c r="B34" s="23" t="s">
        <v>63</v>
      </c>
      <c r="D34" s="6">
        <f>Statements!F5</f>
        <v>33723297</v>
      </c>
      <c r="E34" s="6">
        <f>Statements!G5</f>
        <v>39000966</v>
      </c>
      <c r="F34" s="6">
        <f>Statements!H5</f>
        <v>45183036</v>
      </c>
      <c r="G34" s="21">
        <f>F34*(1+G33)</f>
        <v>51893199.816362709</v>
      </c>
      <c r="H34" s="21">
        <f t="shared" ref="H34:K34" si="7">G34*(1+H33)</f>
        <v>59080962.687553085</v>
      </c>
      <c r="I34" s="21">
        <f t="shared" si="7"/>
        <v>66673497.920939498</v>
      </c>
      <c r="J34" s="21">
        <f t="shared" si="7"/>
        <v>74575020.110709801</v>
      </c>
      <c r="K34" s="21">
        <f t="shared" si="7"/>
        <v>82667206.9397863</v>
      </c>
    </row>
    <row r="35" spans="1:11" x14ac:dyDescent="0.15">
      <c r="A35" s="56" t="s">
        <v>58</v>
      </c>
    </row>
    <row r="36" spans="1:11" x14ac:dyDescent="0.15">
      <c r="A36" s="56" t="s">
        <v>57</v>
      </c>
      <c r="B36" s="24" t="s">
        <v>67</v>
      </c>
      <c r="C36" s="24"/>
      <c r="D36" s="24"/>
      <c r="E36" s="24"/>
      <c r="F36" s="24"/>
      <c r="G36" s="24"/>
      <c r="H36" s="24"/>
      <c r="I36" s="24"/>
      <c r="J36" s="24"/>
      <c r="K36" s="24"/>
    </row>
    <row r="37" spans="1:11" ht="15" thickBot="1" x14ac:dyDescent="0.2"/>
    <row r="38" spans="1:11" ht="16" thickTop="1" thickBot="1" x14ac:dyDescent="0.2">
      <c r="D38" s="36">
        <f>D31</f>
        <v>2023</v>
      </c>
      <c r="E38" s="36">
        <f t="shared" ref="E38:K38" si="8">E31</f>
        <v>2024</v>
      </c>
      <c r="F38" s="36">
        <f t="shared" si="8"/>
        <v>2025</v>
      </c>
      <c r="G38" s="29">
        <f t="shared" si="8"/>
        <v>2026</v>
      </c>
      <c r="H38" s="29">
        <f t="shared" si="8"/>
        <v>2027</v>
      </c>
      <c r="I38" s="29">
        <f t="shared" si="8"/>
        <v>2028</v>
      </c>
      <c r="J38" s="29">
        <f t="shared" si="8"/>
        <v>2029</v>
      </c>
      <c r="K38" s="29">
        <f t="shared" si="8"/>
        <v>2030</v>
      </c>
    </row>
    <row r="39" spans="1:11" ht="15" thickTop="1" x14ac:dyDescent="0.15">
      <c r="D39" s="27"/>
      <c r="E39" s="27"/>
      <c r="F39" s="27"/>
      <c r="G39" s="27"/>
      <c r="H39" s="27"/>
      <c r="I39" s="27"/>
      <c r="J39" s="27"/>
      <c r="K39" s="27"/>
    </row>
    <row r="40" spans="1:11" x14ac:dyDescent="0.15">
      <c r="B40" s="23" t="s">
        <v>65</v>
      </c>
      <c r="D40" s="53">
        <f t="shared" ref="D40:K40" si="9">CHOOSE($C$29,D11,D12,D13)</f>
        <v>0.20620768485358951</v>
      </c>
      <c r="E40" s="54">
        <f t="shared" si="9"/>
        <v>0.26711169154117875</v>
      </c>
      <c r="F40" s="38">
        <f t="shared" si="9"/>
        <v>0.29494704605507255</v>
      </c>
      <c r="G40" s="38">
        <f t="shared" si="9"/>
        <v>0.30395763684405802</v>
      </c>
      <c r="H40" s="38">
        <f t="shared" si="9"/>
        <v>0.31296822763304355</v>
      </c>
      <c r="I40" s="38">
        <f t="shared" si="9"/>
        <v>0.32197881842202902</v>
      </c>
      <c r="J40" s="38">
        <f t="shared" si="9"/>
        <v>0.33098940921101455</v>
      </c>
      <c r="K40" s="39">
        <f t="shared" si="9"/>
        <v>0.34</v>
      </c>
    </row>
    <row r="41" spans="1:11" x14ac:dyDescent="0.15">
      <c r="B41" s="23" t="s">
        <v>60</v>
      </c>
      <c r="D41" s="6">
        <f>Statements!F10</f>
        <v>6954003</v>
      </c>
      <c r="E41" s="6">
        <f>Statements!G10</f>
        <v>10417614</v>
      </c>
      <c r="F41" s="6">
        <f>Statements!H10</f>
        <v>13326603</v>
      </c>
      <c r="G41" s="21">
        <f>G40*G34</f>
        <v>15773334.384458115</v>
      </c>
      <c r="H41" s="21">
        <f t="shared" ref="H41:K41" si="10">H40*H34</f>
        <v>18490464.179177467</v>
      </c>
      <c r="I41" s="21">
        <f t="shared" si="10"/>
        <v>21467454.080647707</v>
      </c>
      <c r="J41" s="21">
        <f t="shared" si="10"/>
        <v>24683541.848343365</v>
      </c>
      <c r="K41" s="21">
        <f t="shared" si="10"/>
        <v>28106850.359527346</v>
      </c>
    </row>
    <row r="43" spans="1:11" x14ac:dyDescent="0.15">
      <c r="A43" s="56" t="s">
        <v>57</v>
      </c>
      <c r="B43" s="24" t="s">
        <v>68</v>
      </c>
      <c r="C43" s="24"/>
      <c r="D43" s="24"/>
      <c r="E43" s="24"/>
      <c r="F43" s="24"/>
      <c r="G43" s="24"/>
      <c r="H43" s="24"/>
      <c r="I43" s="24"/>
      <c r="J43" s="24"/>
      <c r="K43" s="24"/>
    </row>
    <row r="44" spans="1:11" ht="15" thickBot="1" x14ac:dyDescent="0.2"/>
    <row r="45" spans="1:11" ht="16" thickTop="1" thickBot="1" x14ac:dyDescent="0.2">
      <c r="D45" s="36">
        <f>D31</f>
        <v>2023</v>
      </c>
      <c r="E45" s="36">
        <f t="shared" ref="E45:K45" si="11">E31</f>
        <v>2024</v>
      </c>
      <c r="F45" s="36">
        <f t="shared" si="11"/>
        <v>2025</v>
      </c>
      <c r="G45" s="29">
        <f t="shared" si="11"/>
        <v>2026</v>
      </c>
      <c r="H45" s="29">
        <f t="shared" si="11"/>
        <v>2027</v>
      </c>
      <c r="I45" s="29">
        <f t="shared" si="11"/>
        <v>2028</v>
      </c>
      <c r="J45" s="29">
        <f t="shared" si="11"/>
        <v>2029</v>
      </c>
      <c r="K45" s="29">
        <f t="shared" si="11"/>
        <v>2030</v>
      </c>
    </row>
    <row r="46" spans="1:11" ht="15" thickTop="1" x14ac:dyDescent="0.15">
      <c r="D46" s="49"/>
      <c r="E46" s="49"/>
      <c r="F46" s="49"/>
      <c r="G46" s="49"/>
      <c r="H46" s="49"/>
      <c r="I46" s="49"/>
      <c r="J46" s="49"/>
      <c r="K46" s="49"/>
    </row>
    <row r="47" spans="1:11" x14ac:dyDescent="0.15">
      <c r="B47" s="23" t="s">
        <v>70</v>
      </c>
      <c r="D47" s="37">
        <f>D48/D34</f>
        <v>0.43158247546199291</v>
      </c>
      <c r="E47" s="38">
        <f t="shared" ref="E47:F47" si="12">E48/E34</f>
        <v>0.4007703552778667</v>
      </c>
      <c r="F47" s="38">
        <f t="shared" si="12"/>
        <v>0.37083729831700551</v>
      </c>
      <c r="G47" s="38">
        <f xml:space="preserve"> $F47 + ( $K47 - $F47 )*(1/5)</f>
        <v>0.36566983865360442</v>
      </c>
      <c r="H47" s="38">
        <f xml:space="preserve"> $F47 + ( $K47 - $F47 )*(2/5)</f>
        <v>0.36050237899020332</v>
      </c>
      <c r="I47" s="38">
        <f xml:space="preserve"> $F47 + ( $K47 - $F47 )*(3/5)</f>
        <v>0.35533491932680217</v>
      </c>
      <c r="J47" s="38">
        <f xml:space="preserve"> $F47 + ( $K47 - $F47 )*(4/5)</f>
        <v>0.35016745966340107</v>
      </c>
      <c r="K47" s="55">
        <v>0.34499999999999997</v>
      </c>
    </row>
    <row r="48" spans="1:11" x14ac:dyDescent="0.15">
      <c r="B48" s="23" t="s">
        <v>69</v>
      </c>
      <c r="D48" s="6">
        <f>Statements!F27+Statements!F29</f>
        <v>14554384</v>
      </c>
      <c r="E48" s="6">
        <f>Statements!G27+Statements!G29</f>
        <v>15630431</v>
      </c>
      <c r="F48" s="6">
        <f>Statements!H27+Statements!H29</f>
        <v>16755555</v>
      </c>
      <c r="G48" s="21">
        <f>G47*G34</f>
        <v>18975778.004068606</v>
      </c>
      <c r="H48" s="21">
        <f t="shared" ref="H48:K48" si="13">H47*H34</f>
        <v>21298827.601894323</v>
      </c>
      <c r="I48" s="21">
        <f t="shared" si="13"/>
        <v>23691422.004972748</v>
      </c>
      <c r="J48" s="21">
        <f t="shared" si="13"/>
        <v>26113745.3465143</v>
      </c>
      <c r="K48" s="21">
        <f t="shared" si="13"/>
        <v>28520186.394226272</v>
      </c>
    </row>
    <row r="49" spans="1:11" x14ac:dyDescent="0.15">
      <c r="D49" s="50"/>
      <c r="E49" s="50"/>
      <c r="F49" s="50"/>
      <c r="G49" s="50"/>
      <c r="H49" s="50"/>
      <c r="I49" s="50"/>
      <c r="J49" s="50"/>
      <c r="K49" s="50"/>
    </row>
    <row r="50" spans="1:11" x14ac:dyDescent="0.15">
      <c r="A50" s="56" t="s">
        <v>57</v>
      </c>
      <c r="B50" s="24" t="s">
        <v>73</v>
      </c>
      <c r="C50" s="24"/>
      <c r="D50" s="24"/>
      <c r="E50" s="24"/>
      <c r="F50" s="24"/>
      <c r="G50" s="24"/>
      <c r="H50" s="24"/>
      <c r="I50" s="24"/>
      <c r="J50" s="24"/>
      <c r="K50" s="24"/>
    </row>
    <row r="51" spans="1:11" ht="15" thickBot="1" x14ac:dyDescent="0.2"/>
    <row r="52" spans="1:11" ht="16" thickTop="1" thickBot="1" x14ac:dyDescent="0.2">
      <c r="D52" s="36">
        <f>D38</f>
        <v>2023</v>
      </c>
      <c r="E52" s="36">
        <f t="shared" ref="E52:K52" si="14">E38</f>
        <v>2024</v>
      </c>
      <c r="F52" s="36">
        <f t="shared" si="14"/>
        <v>2025</v>
      </c>
      <c r="G52" s="29">
        <f t="shared" si="14"/>
        <v>2026</v>
      </c>
      <c r="H52" s="29">
        <f t="shared" si="14"/>
        <v>2027</v>
      </c>
      <c r="I52" s="29">
        <f t="shared" si="14"/>
        <v>2028</v>
      </c>
      <c r="J52" s="29">
        <f t="shared" si="14"/>
        <v>2029</v>
      </c>
      <c r="K52" s="29">
        <f t="shared" si="14"/>
        <v>2030</v>
      </c>
    </row>
    <row r="53" spans="1:11" ht="15" thickTop="1" x14ac:dyDescent="0.15">
      <c r="D53" s="49"/>
      <c r="E53" s="49"/>
      <c r="F53" s="49"/>
      <c r="G53" s="49"/>
      <c r="H53" s="49"/>
      <c r="I53" s="49"/>
      <c r="J53" s="49"/>
      <c r="K53" s="49"/>
    </row>
    <row r="54" spans="1:11" x14ac:dyDescent="0.15">
      <c r="B54" s="23" t="s">
        <v>72</v>
      </c>
      <c r="D54" s="37">
        <f>-Statements!F43/Statements!F5</f>
        <v>1.0335644228380162E-2</v>
      </c>
      <c r="E54" s="38">
        <f>-Statements!G43/Statements!G5</f>
        <v>1.1269925980807758E-2</v>
      </c>
      <c r="F54" s="38">
        <f>-Statements!H43/Statements!H5</f>
        <v>1.5231822846078781E-2</v>
      </c>
      <c r="G54" s="57">
        <v>1.4E-2</v>
      </c>
      <c r="H54" s="57">
        <v>1.4E-2</v>
      </c>
      <c r="I54" s="57">
        <v>1.4E-2</v>
      </c>
      <c r="J54" s="57">
        <v>1.4E-2</v>
      </c>
      <c r="K54" s="55">
        <v>1.4E-2</v>
      </c>
    </row>
    <row r="55" spans="1:11" x14ac:dyDescent="0.15">
      <c r="B55" s="23" t="s">
        <v>71</v>
      </c>
      <c r="D55" s="6">
        <f>Statements!F43</f>
        <v>-348552</v>
      </c>
      <c r="E55" s="6">
        <f>Statements!G43</f>
        <v>-439538</v>
      </c>
      <c r="F55" s="6">
        <f>Statements!H43</f>
        <v>-688220</v>
      </c>
      <c r="G55" s="21">
        <f>G54*-G34</f>
        <v>-726504.79742907791</v>
      </c>
      <c r="H55" s="21">
        <f t="shared" ref="H55:K55" si="15">H54*-H34</f>
        <v>-827133.47762574325</v>
      </c>
      <c r="I55" s="21">
        <f t="shared" si="15"/>
        <v>-933428.97089315299</v>
      </c>
      <c r="J55" s="21">
        <f t="shared" si="15"/>
        <v>-1044050.2815499372</v>
      </c>
      <c r="K55" s="21">
        <f t="shared" si="15"/>
        <v>-1157340.8971570083</v>
      </c>
    </row>
    <row r="57" spans="1:11" x14ac:dyDescent="0.15">
      <c r="A57" s="56" t="s">
        <v>57</v>
      </c>
      <c r="B57" s="24" t="s">
        <v>74</v>
      </c>
      <c r="C57" s="24"/>
      <c r="D57" s="24"/>
      <c r="E57" s="24"/>
      <c r="F57" s="24"/>
      <c r="G57" s="24"/>
      <c r="H57" s="24"/>
      <c r="I57" s="24"/>
      <c r="J57" s="24"/>
      <c r="K57" s="24"/>
    </row>
    <row r="58" spans="1:11" ht="15" thickBot="1" x14ac:dyDescent="0.2"/>
    <row r="59" spans="1:11" ht="16" thickTop="1" thickBot="1" x14ac:dyDescent="0.2">
      <c r="D59" s="36">
        <f>D45</f>
        <v>2023</v>
      </c>
      <c r="E59" s="36">
        <f t="shared" ref="E59:K59" si="16">E45</f>
        <v>2024</v>
      </c>
      <c r="F59" s="36">
        <f t="shared" si="16"/>
        <v>2025</v>
      </c>
      <c r="G59" s="29">
        <f t="shared" si="16"/>
        <v>2026</v>
      </c>
      <c r="H59" s="29">
        <f t="shared" si="16"/>
        <v>2027</v>
      </c>
      <c r="I59" s="29">
        <f t="shared" si="16"/>
        <v>2028</v>
      </c>
      <c r="J59" s="29">
        <f t="shared" si="16"/>
        <v>2029</v>
      </c>
      <c r="K59" s="29">
        <f t="shared" si="16"/>
        <v>2030</v>
      </c>
    </row>
    <row r="60" spans="1:11" ht="15" thickTop="1" x14ac:dyDescent="0.15">
      <c r="D60" s="49"/>
      <c r="E60" s="49"/>
      <c r="F60" s="49"/>
      <c r="G60" s="49"/>
      <c r="H60" s="49"/>
      <c r="I60" s="49"/>
      <c r="J60" s="49"/>
      <c r="K60" s="49"/>
    </row>
    <row r="61" spans="1:11" x14ac:dyDescent="0.15">
      <c r="B61" s="23" t="s">
        <v>75</v>
      </c>
      <c r="D61" s="37">
        <f>SUM(Statements!F35:F39)/Statements!F5</f>
        <v>-3.4441472315117944E-3</v>
      </c>
      <c r="E61" s="38">
        <f>SUM(Statements!G35:G39)/Statements!G5</f>
        <v>-8.4805591738420019E-4</v>
      </c>
      <c r="F61" s="38">
        <f>SUM(Statements!H35:H39)/Statements!H5</f>
        <v>-1.009715239144178E-2</v>
      </c>
      <c r="G61" s="38">
        <f>AVERAGE($D$61:$F$61)</f>
        <v>-4.796451846779258E-3</v>
      </c>
      <c r="H61" s="38">
        <f>AVERAGE($D$61:$F$61)</f>
        <v>-4.796451846779258E-3</v>
      </c>
      <c r="I61" s="38">
        <f>AVERAGE($D$61:$F$61)</f>
        <v>-4.796451846779258E-3</v>
      </c>
      <c r="J61" s="38">
        <f>AVERAGE($D$61:$F$61)</f>
        <v>-4.796451846779258E-3</v>
      </c>
      <c r="K61" s="39">
        <f>AVERAGE($D$61:$F$61)</f>
        <v>-4.796451846779258E-3</v>
      </c>
    </row>
    <row r="62" spans="1:11" x14ac:dyDescent="0.15">
      <c r="B62" s="23" t="s">
        <v>76</v>
      </c>
      <c r="D62" s="6">
        <f>SUM(Statements!F35:F39)</f>
        <v>-116148</v>
      </c>
      <c r="E62" s="6">
        <f>SUM(Statements!G35:G39)</f>
        <v>-33075</v>
      </c>
      <c r="F62" s="6">
        <f>SUM(Statements!H35:H39)</f>
        <v>-456220</v>
      </c>
      <c r="G62" s="21">
        <f>G61*G34</f>
        <v>-248903.23409447796</v>
      </c>
      <c r="H62" s="21">
        <f t="shared" ref="H62:K62" si="17">H61*H34</f>
        <v>-283378.99259221042</v>
      </c>
      <c r="I62" s="21">
        <f t="shared" si="17"/>
        <v>-319796.22223412327</v>
      </c>
      <c r="J62" s="21">
        <f t="shared" si="17"/>
        <v>-357695.49293361435</v>
      </c>
      <c r="K62" s="21">
        <f t="shared" si="17"/>
        <v>-396509.27739442111</v>
      </c>
    </row>
    <row r="64" spans="1:11" x14ac:dyDescent="0.15">
      <c r="A64" s="56" t="s">
        <v>57</v>
      </c>
      <c r="B64" s="24" t="s">
        <v>79</v>
      </c>
      <c r="C64" s="24"/>
      <c r="D64" s="24"/>
      <c r="E64" s="24"/>
      <c r="F64" s="24"/>
      <c r="G64" s="24"/>
      <c r="H64" s="24"/>
      <c r="I64" s="24"/>
      <c r="J64" s="24"/>
      <c r="K64" s="24"/>
    </row>
    <row r="65" spans="1:11" ht="15" thickBot="1" x14ac:dyDescent="0.2"/>
    <row r="66" spans="1:11" ht="16" thickTop="1" thickBot="1" x14ac:dyDescent="0.2">
      <c r="D66" s="36">
        <f>D52</f>
        <v>2023</v>
      </c>
      <c r="E66" s="36">
        <f t="shared" ref="E66:K66" si="18">E52</f>
        <v>2024</v>
      </c>
      <c r="F66" s="36">
        <f t="shared" si="18"/>
        <v>2025</v>
      </c>
      <c r="G66" s="29">
        <f t="shared" si="18"/>
        <v>2026</v>
      </c>
      <c r="H66" s="29">
        <f t="shared" si="18"/>
        <v>2027</v>
      </c>
      <c r="I66" s="29">
        <f t="shared" si="18"/>
        <v>2028</v>
      </c>
      <c r="J66" s="29">
        <f t="shared" si="18"/>
        <v>2029</v>
      </c>
      <c r="K66" s="29">
        <f t="shared" si="18"/>
        <v>2030</v>
      </c>
    </row>
    <row r="67" spans="1:11" ht="15" thickTop="1" x14ac:dyDescent="0.15"/>
    <row r="68" spans="1:11" x14ac:dyDescent="0.15">
      <c r="B68" s="23" t="s">
        <v>60</v>
      </c>
      <c r="D68" s="46">
        <f>D41</f>
        <v>6954003</v>
      </c>
      <c r="E68" s="46">
        <f t="shared" ref="E68:K68" si="19">E41</f>
        <v>10417614</v>
      </c>
      <c r="F68" s="46">
        <f t="shared" si="19"/>
        <v>13326603</v>
      </c>
      <c r="G68" s="46">
        <f t="shared" si="19"/>
        <v>15773334.384458115</v>
      </c>
      <c r="H68" s="46">
        <f t="shared" si="19"/>
        <v>18490464.179177467</v>
      </c>
      <c r="I68" s="46">
        <f t="shared" si="19"/>
        <v>21467454.080647707</v>
      </c>
      <c r="J68" s="46">
        <f t="shared" si="19"/>
        <v>24683541.848343365</v>
      </c>
      <c r="K68" s="46">
        <f t="shared" si="19"/>
        <v>28106850.359527346</v>
      </c>
    </row>
    <row r="69" spans="1:11" x14ac:dyDescent="0.15">
      <c r="B69" s="23" t="s">
        <v>80</v>
      </c>
      <c r="D69" s="46">
        <f>D68*$C$25</f>
        <v>904020.39</v>
      </c>
      <c r="E69" s="46">
        <f t="shared" ref="E69:K69" si="20">E68*$C$25</f>
        <v>1354289.82</v>
      </c>
      <c r="F69" s="46">
        <f t="shared" si="20"/>
        <v>1732458.3900000001</v>
      </c>
      <c r="G69" s="46">
        <f t="shared" si="20"/>
        <v>2050533.4699795551</v>
      </c>
      <c r="H69" s="46">
        <f t="shared" si="20"/>
        <v>2403760.3432930708</v>
      </c>
      <c r="I69" s="46">
        <f t="shared" si="20"/>
        <v>2790769.0304842019</v>
      </c>
      <c r="J69" s="46">
        <f t="shared" si="20"/>
        <v>3208860.4402846377</v>
      </c>
      <c r="K69" s="46">
        <f t="shared" si="20"/>
        <v>3653890.5467385552</v>
      </c>
    </row>
    <row r="70" spans="1:11" x14ac:dyDescent="0.15">
      <c r="B70" s="23" t="s">
        <v>81</v>
      </c>
      <c r="D70" s="46">
        <f>D68-D69</f>
        <v>6049982.6100000003</v>
      </c>
      <c r="E70" s="46">
        <f t="shared" ref="E70:K70" si="21">E68-E69</f>
        <v>9063324.1799999997</v>
      </c>
      <c r="F70" s="46">
        <f t="shared" si="21"/>
        <v>11594144.609999999</v>
      </c>
      <c r="G70" s="46">
        <f t="shared" si="21"/>
        <v>13722800.914478561</v>
      </c>
      <c r="H70" s="46">
        <f t="shared" si="21"/>
        <v>16086703.835884396</v>
      </c>
      <c r="I70" s="46">
        <f t="shared" si="21"/>
        <v>18676685.050163504</v>
      </c>
      <c r="J70" s="46">
        <f t="shared" si="21"/>
        <v>21474681.408058725</v>
      </c>
      <c r="K70" s="46">
        <f t="shared" si="21"/>
        <v>24452959.812788792</v>
      </c>
    </row>
    <row r="71" spans="1:11" x14ac:dyDescent="0.15">
      <c r="B71" s="23" t="s">
        <v>82</v>
      </c>
      <c r="D71" s="46">
        <f>D48</f>
        <v>14554384</v>
      </c>
      <c r="E71" s="46">
        <f t="shared" ref="E71:K71" si="22">E48</f>
        <v>15630431</v>
      </c>
      <c r="F71" s="46">
        <f t="shared" si="22"/>
        <v>16755555</v>
      </c>
      <c r="G71" s="46">
        <f t="shared" si="22"/>
        <v>18975778.004068606</v>
      </c>
      <c r="H71" s="46">
        <f t="shared" si="22"/>
        <v>21298827.601894323</v>
      </c>
      <c r="I71" s="46">
        <f t="shared" si="22"/>
        <v>23691422.004972748</v>
      </c>
      <c r="J71" s="46">
        <f t="shared" si="22"/>
        <v>26113745.3465143</v>
      </c>
      <c r="K71" s="46">
        <f t="shared" si="22"/>
        <v>28520186.394226272</v>
      </c>
    </row>
    <row r="72" spans="1:11" x14ac:dyDescent="0.15">
      <c r="B72" s="23" t="s">
        <v>83</v>
      </c>
      <c r="D72" s="46">
        <f>D55</f>
        <v>-348552</v>
      </c>
      <c r="E72" s="46">
        <f t="shared" ref="E72:K72" si="23">E55</f>
        <v>-439538</v>
      </c>
      <c r="F72" s="46">
        <f t="shared" si="23"/>
        <v>-688220</v>
      </c>
      <c r="G72" s="46">
        <f t="shared" si="23"/>
        <v>-726504.79742907791</v>
      </c>
      <c r="H72" s="46">
        <f t="shared" si="23"/>
        <v>-827133.47762574325</v>
      </c>
      <c r="I72" s="46">
        <f t="shared" si="23"/>
        <v>-933428.97089315299</v>
      </c>
      <c r="J72" s="46">
        <f t="shared" si="23"/>
        <v>-1044050.2815499372</v>
      </c>
      <c r="K72" s="46">
        <f t="shared" si="23"/>
        <v>-1157340.8971570083</v>
      </c>
    </row>
    <row r="73" spans="1:11" x14ac:dyDescent="0.15">
      <c r="B73" s="23" t="s">
        <v>84</v>
      </c>
      <c r="D73" s="46">
        <f>D62</f>
        <v>-116148</v>
      </c>
      <c r="E73" s="46">
        <f t="shared" ref="E73:K73" si="24">E62</f>
        <v>-33075</v>
      </c>
      <c r="F73" s="46">
        <f t="shared" si="24"/>
        <v>-456220</v>
      </c>
      <c r="G73" s="46">
        <f t="shared" si="24"/>
        <v>-248903.23409447796</v>
      </c>
      <c r="H73" s="46">
        <f t="shared" si="24"/>
        <v>-283378.99259221042</v>
      </c>
      <c r="I73" s="46">
        <f t="shared" si="24"/>
        <v>-319796.22223412327</v>
      </c>
      <c r="J73" s="46">
        <f t="shared" si="24"/>
        <v>-357695.49293361435</v>
      </c>
      <c r="K73" s="46">
        <f t="shared" si="24"/>
        <v>-396509.27739442111</v>
      </c>
    </row>
    <row r="74" spans="1:11" x14ac:dyDescent="0.15">
      <c r="B74" s="23" t="s">
        <v>78</v>
      </c>
      <c r="D74" s="46">
        <f>D70+D71-D72-D73</f>
        <v>21069066.609999999</v>
      </c>
      <c r="E74" s="46">
        <f t="shared" ref="E74:K74" si="25">E70+E71-E72-E73</f>
        <v>25166368.18</v>
      </c>
      <c r="F74" s="46">
        <f t="shared" si="25"/>
        <v>29494139.609999999</v>
      </c>
      <c r="G74" s="46">
        <f t="shared" si="25"/>
        <v>33673986.950070724</v>
      </c>
      <c r="H74" s="46">
        <f t="shared" si="25"/>
        <v>38496043.907996669</v>
      </c>
      <c r="I74" s="46">
        <f t="shared" si="25"/>
        <v>43621332.248263523</v>
      </c>
      <c r="J74" s="46">
        <f t="shared" si="25"/>
        <v>48990172.529056579</v>
      </c>
      <c r="K74" s="46">
        <f t="shared" si="25"/>
        <v>54526996.381566495</v>
      </c>
    </row>
    <row r="76" spans="1:11" x14ac:dyDescent="0.15">
      <c r="A76" s="56" t="s">
        <v>57</v>
      </c>
      <c r="B76" s="24" t="s">
        <v>61</v>
      </c>
      <c r="C76" s="24"/>
      <c r="D76" s="24"/>
      <c r="E76" s="24"/>
      <c r="F76" s="24"/>
      <c r="G76" s="24"/>
      <c r="H76" s="24"/>
      <c r="I76" s="24"/>
      <c r="J76" s="24"/>
      <c r="K76" s="24"/>
    </row>
    <row r="78" spans="1:11" x14ac:dyDescent="0.15">
      <c r="B78" s="58" t="s">
        <v>111</v>
      </c>
      <c r="C78" s="79"/>
      <c r="D78" s="79"/>
      <c r="E78" s="79"/>
      <c r="F78" s="80"/>
    </row>
    <row r="80" spans="1:11" x14ac:dyDescent="0.15">
      <c r="B80" s="60" t="s">
        <v>86</v>
      </c>
      <c r="C80" s="66">
        <f>351059000000/1000</f>
        <v>351059000</v>
      </c>
    </row>
    <row r="81" spans="1:11" x14ac:dyDescent="0.15">
      <c r="B81" s="61" t="s">
        <v>87</v>
      </c>
      <c r="C81" s="62"/>
      <c r="E81" s="139" t="str">
        <f>B99</f>
        <v>Present Value of FCFF</v>
      </c>
      <c r="F81" s="140">
        <f>SUM(G99:K99)</f>
        <v>159612428.0512149</v>
      </c>
    </row>
    <row r="82" spans="1:11" x14ac:dyDescent="0.15">
      <c r="B82" s="60" t="s">
        <v>88</v>
      </c>
      <c r="C82" s="65">
        <f>C80/C91</f>
        <v>0.96043236114627084</v>
      </c>
      <c r="E82" s="139" t="str">
        <f>B102</f>
        <v>PV of Terminal Value</v>
      </c>
      <c r="F82" s="140">
        <f>K102</f>
        <v>249053242.27791953</v>
      </c>
    </row>
    <row r="83" spans="1:11" x14ac:dyDescent="0.15">
      <c r="B83" s="64" t="s">
        <v>89</v>
      </c>
      <c r="C83" s="65">
        <f>C84+C85*C86</f>
        <v>0.109005</v>
      </c>
      <c r="E83" s="139" t="str">
        <f>B104</f>
        <v>Enterprise Value</v>
      </c>
      <c r="F83" s="140">
        <f>K104</f>
        <v>408665670.32913446</v>
      </c>
    </row>
    <row r="84" spans="1:11" x14ac:dyDescent="0.15">
      <c r="B84" s="64" t="s">
        <v>90</v>
      </c>
      <c r="C84" s="67">
        <v>4.2880000000000001E-2</v>
      </c>
    </row>
    <row r="85" spans="1:11" x14ac:dyDescent="0.15">
      <c r="B85" s="64" t="s">
        <v>91</v>
      </c>
      <c r="C85" s="71">
        <v>1.1499999999999999</v>
      </c>
      <c r="E85" s="139" t="s">
        <v>128</v>
      </c>
    </row>
    <row r="86" spans="1:11" x14ac:dyDescent="0.15">
      <c r="B86" s="61" t="s">
        <v>92</v>
      </c>
      <c r="C86" s="72">
        <v>5.7500000000000002E-2</v>
      </c>
      <c r="E86" s="139" t="s">
        <v>52</v>
      </c>
    </row>
    <row r="87" spans="1:11" x14ac:dyDescent="0.15">
      <c r="B87" s="60" t="s">
        <v>93</v>
      </c>
      <c r="C87" s="66">
        <f>998865+13463971</f>
        <v>14462836</v>
      </c>
      <c r="E87" s="139" t="s">
        <v>127</v>
      </c>
    </row>
    <row r="88" spans="1:11" x14ac:dyDescent="0.15">
      <c r="B88" s="64" t="s">
        <v>96</v>
      </c>
      <c r="C88" s="68">
        <f>C87/C91</f>
        <v>3.956763885372911E-2</v>
      </c>
    </row>
    <row r="89" spans="1:11" x14ac:dyDescent="0.15">
      <c r="B89" s="64" t="s">
        <v>94</v>
      </c>
      <c r="C89" s="68">
        <f>-Statements!H12/C87</f>
        <v>5.3690023173878207E-2</v>
      </c>
    </row>
    <row r="90" spans="1:11" x14ac:dyDescent="0.15">
      <c r="B90" s="61" t="s">
        <v>95</v>
      </c>
      <c r="C90" s="69">
        <f>C25</f>
        <v>0.13</v>
      </c>
    </row>
    <row r="91" spans="1:11" x14ac:dyDescent="0.15">
      <c r="B91" s="47" t="s">
        <v>97</v>
      </c>
      <c r="C91" s="70">
        <f>SUM(C87,C80)</f>
        <v>365521836</v>
      </c>
    </row>
    <row r="92" spans="1:11" x14ac:dyDescent="0.15">
      <c r="B92" s="58" t="s">
        <v>61</v>
      </c>
      <c r="C92" s="73">
        <f>(C82*C83)+(C88*C89)*(1-C90)</f>
        <v>0.10654014660563262</v>
      </c>
    </row>
    <row r="94" spans="1:11" x14ac:dyDescent="0.15">
      <c r="A94" s="56" t="s">
        <v>57</v>
      </c>
      <c r="B94" s="24" t="s">
        <v>99</v>
      </c>
      <c r="C94" s="24"/>
      <c r="D94" s="24"/>
      <c r="E94" s="24"/>
      <c r="F94" s="24"/>
      <c r="G94" s="24"/>
      <c r="H94" s="24"/>
      <c r="I94" s="24"/>
      <c r="J94" s="24"/>
      <c r="K94" s="24"/>
    </row>
    <row r="95" spans="1:11" ht="15" thickBot="1" x14ac:dyDescent="0.2"/>
    <row r="96" spans="1:11" ht="16" thickTop="1" thickBot="1" x14ac:dyDescent="0.2">
      <c r="D96" s="36">
        <f>D31</f>
        <v>2023</v>
      </c>
      <c r="E96" s="36">
        <f t="shared" ref="E96:K96" si="26">E31</f>
        <v>2024</v>
      </c>
      <c r="F96" s="36">
        <f t="shared" si="26"/>
        <v>2025</v>
      </c>
      <c r="G96" s="29">
        <f t="shared" si="26"/>
        <v>2026</v>
      </c>
      <c r="H96" s="29">
        <f t="shared" si="26"/>
        <v>2027</v>
      </c>
      <c r="I96" s="29">
        <f t="shared" si="26"/>
        <v>2028</v>
      </c>
      <c r="J96" s="29">
        <f t="shared" si="26"/>
        <v>2029</v>
      </c>
      <c r="K96" s="29">
        <f t="shared" si="26"/>
        <v>2030</v>
      </c>
    </row>
    <row r="97" spans="2:11" ht="15" thickTop="1" x14ac:dyDescent="0.15"/>
    <row r="98" spans="2:11" x14ac:dyDescent="0.15">
      <c r="B98" s="23" t="s">
        <v>78</v>
      </c>
      <c r="G98" s="46">
        <f>G74</f>
        <v>33673986.950070724</v>
      </c>
      <c r="H98" s="46">
        <f t="shared" ref="H98:K98" si="27">H74</f>
        <v>38496043.907996669</v>
      </c>
      <c r="I98" s="46">
        <f t="shared" si="27"/>
        <v>43621332.248263523</v>
      </c>
      <c r="J98" s="46">
        <f t="shared" si="27"/>
        <v>48990172.529056579</v>
      </c>
      <c r="K98" s="46">
        <f t="shared" si="27"/>
        <v>54526996.381566495</v>
      </c>
    </row>
    <row r="99" spans="2:11" x14ac:dyDescent="0.15">
      <c r="B99" s="23" t="s">
        <v>100</v>
      </c>
      <c r="G99" s="46">
        <f>G98/(1+$G$17)^G4</f>
        <v>30431780.58506722</v>
      </c>
      <c r="H99" s="46">
        <f t="shared" ref="H99:K99" si="28">H98/(1+$G$17)^H4</f>
        <v>31439943.033286214</v>
      </c>
      <c r="I99" s="46">
        <f t="shared" si="28"/>
        <v>32195664.973818172</v>
      </c>
      <c r="J99" s="46">
        <f t="shared" si="28"/>
        <v>32676856.266564973</v>
      </c>
      <c r="K99" s="46">
        <f t="shared" si="28"/>
        <v>32868183.192478321</v>
      </c>
    </row>
    <row r="101" spans="2:11" x14ac:dyDescent="0.15">
      <c r="B101" s="23" t="s">
        <v>101</v>
      </c>
      <c r="K101" s="46">
        <f>K99*(1+$G$22)/($G$17-$G$22)</f>
        <v>413169330.38188887</v>
      </c>
    </row>
    <row r="102" spans="2:11" x14ac:dyDescent="0.15">
      <c r="B102" s="23" t="s">
        <v>102</v>
      </c>
      <c r="K102" s="46">
        <f>K101/(1+G17)^K4</f>
        <v>249053242.27791953</v>
      </c>
    </row>
    <row r="104" spans="2:11" x14ac:dyDescent="0.15">
      <c r="B104" s="23" t="s">
        <v>103</v>
      </c>
      <c r="K104" s="83">
        <f>K102+SUM(G99:K99)</f>
        <v>408665670.32913446</v>
      </c>
    </row>
    <row r="105" spans="2:11" x14ac:dyDescent="0.15">
      <c r="B105" s="23" t="s">
        <v>104</v>
      </c>
      <c r="K105" s="85">
        <v>9033681</v>
      </c>
    </row>
    <row r="106" spans="2:11" x14ac:dyDescent="0.15">
      <c r="B106" s="23" t="s">
        <v>105</v>
      </c>
      <c r="K106" s="46">
        <f>C87</f>
        <v>14462836</v>
      </c>
    </row>
    <row r="108" spans="2:11" x14ac:dyDescent="0.15">
      <c r="B108" s="23" t="s">
        <v>106</v>
      </c>
      <c r="K108" s="83">
        <f>K104+K105-K106</f>
        <v>403236515.32913446</v>
      </c>
    </row>
    <row r="109" spans="2:11" x14ac:dyDescent="0.15">
      <c r="B109" s="23" t="s">
        <v>107</v>
      </c>
      <c r="K109" s="84">
        <v>4343863</v>
      </c>
    </row>
    <row r="110" spans="2:11" x14ac:dyDescent="0.15">
      <c r="B110" s="23" t="s">
        <v>108</v>
      </c>
      <c r="K110" s="86">
        <f>K108/K109</f>
        <v>92.829013099431194</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0033D-73E6-4F47-8701-BA98F116659F}">
  <dimension ref="A1:I64"/>
  <sheetViews>
    <sheetView showGridLines="0" zoomScaleNormal="84" workbookViewId="0">
      <selection activeCell="H67" sqref="H67"/>
    </sheetView>
  </sheetViews>
  <sheetFormatPr baseColWidth="10" defaultColWidth="12.6640625" defaultRowHeight="15" x14ac:dyDescent="0.2"/>
  <cols>
    <col min="1" max="1" width="2.5" style="1" customWidth="1"/>
    <col min="2" max="2" width="14" style="1" customWidth="1"/>
    <col min="3" max="4" width="12.6640625" style="1"/>
    <col min="5" max="5" width="16.5" style="1" customWidth="1"/>
    <col min="6" max="7" width="16" style="1" customWidth="1"/>
    <col min="8" max="8" width="17.6640625" style="1" customWidth="1"/>
    <col min="9" max="16384" width="12.6640625" style="1"/>
  </cols>
  <sheetData>
    <row r="1" spans="1:9" ht="34" customHeight="1" x14ac:dyDescent="0.4">
      <c r="A1" s="141" t="s">
        <v>56</v>
      </c>
      <c r="B1" s="141"/>
      <c r="C1" s="17"/>
      <c r="D1" s="17"/>
      <c r="E1" s="17"/>
      <c r="F1" s="17"/>
      <c r="G1" s="17"/>
      <c r="H1" s="17"/>
    </row>
    <row r="3" spans="1:9" x14ac:dyDescent="0.2">
      <c r="A3" s="3" t="s">
        <v>57</v>
      </c>
      <c r="B3" s="18" t="s">
        <v>50</v>
      </c>
      <c r="C3" s="19"/>
      <c r="D3" s="19"/>
      <c r="E3" s="19"/>
      <c r="F3" s="19"/>
      <c r="G3" s="19"/>
      <c r="H3" s="19"/>
    </row>
    <row r="4" spans="1:9" x14ac:dyDescent="0.2">
      <c r="F4" s="2">
        <v>2023</v>
      </c>
      <c r="G4" s="2">
        <f t="shared" ref="G4:H4" si="0">F4+1</f>
        <v>2024</v>
      </c>
      <c r="H4" s="2">
        <f t="shared" si="0"/>
        <v>2025</v>
      </c>
      <c r="I4" s="3"/>
    </row>
    <row r="5" spans="1:9" x14ac:dyDescent="0.2">
      <c r="B5" s="4" t="s">
        <v>0</v>
      </c>
      <c r="C5" s="5"/>
      <c r="F5" s="6">
        <v>33723297</v>
      </c>
      <c r="G5" s="6">
        <v>39000966</v>
      </c>
      <c r="H5" s="6">
        <v>45183036</v>
      </c>
    </row>
    <row r="6" spans="1:9" x14ac:dyDescent="0.2">
      <c r="B6" s="16" t="s">
        <v>1</v>
      </c>
      <c r="C6" s="5"/>
      <c r="F6" s="7">
        <v>19715368</v>
      </c>
      <c r="G6" s="7">
        <v>21038464</v>
      </c>
      <c r="H6" s="7">
        <v>23275329</v>
      </c>
    </row>
    <row r="7" spans="1:9" x14ac:dyDescent="0.2">
      <c r="B7" s="16" t="s">
        <v>2</v>
      </c>
      <c r="C7" s="5"/>
      <c r="F7" s="7">
        <v>2657883</v>
      </c>
      <c r="G7" s="7">
        <v>2917554</v>
      </c>
      <c r="H7" s="7">
        <v>3301306</v>
      </c>
    </row>
    <row r="8" spans="1:9" x14ac:dyDescent="0.2">
      <c r="B8" s="16" t="s">
        <v>3</v>
      </c>
      <c r="C8" s="5"/>
      <c r="F8" s="7">
        <v>2675758</v>
      </c>
      <c r="G8" s="7">
        <v>2925295</v>
      </c>
      <c r="H8" s="7">
        <v>3391390</v>
      </c>
    </row>
    <row r="9" spans="1:9" x14ac:dyDescent="0.2">
      <c r="B9" s="16" t="s">
        <v>4</v>
      </c>
      <c r="C9" s="5"/>
      <c r="F9" s="7">
        <v>1720285</v>
      </c>
      <c r="G9" s="7">
        <v>1702039</v>
      </c>
      <c r="H9" s="7">
        <v>1888408</v>
      </c>
    </row>
    <row r="10" spans="1:9" x14ac:dyDescent="0.2">
      <c r="B10" s="8" t="s">
        <v>10</v>
      </c>
      <c r="C10" s="9"/>
      <c r="D10" s="10"/>
      <c r="E10" s="10"/>
      <c r="F10" s="11">
        <v>6954003</v>
      </c>
      <c r="G10" s="11">
        <v>10417614</v>
      </c>
      <c r="H10" s="11">
        <v>13326603</v>
      </c>
    </row>
    <row r="11" spans="1:9" x14ac:dyDescent="0.2">
      <c r="B11" s="16" t="s">
        <v>5</v>
      </c>
      <c r="C11" s="5"/>
      <c r="F11" s="12"/>
      <c r="G11" s="12"/>
      <c r="H11" s="12"/>
    </row>
    <row r="12" spans="1:9" x14ac:dyDescent="0.2">
      <c r="B12" s="16" t="s">
        <v>6</v>
      </c>
      <c r="C12" s="5"/>
      <c r="F12" s="7">
        <v>-699826</v>
      </c>
      <c r="G12" s="7">
        <v>-718733</v>
      </c>
      <c r="H12" s="7">
        <v>-776510</v>
      </c>
    </row>
    <row r="13" spans="1:9" x14ac:dyDescent="0.2">
      <c r="B13" s="16" t="s">
        <v>7</v>
      </c>
      <c r="C13" s="5"/>
      <c r="F13" s="7">
        <v>-48772</v>
      </c>
      <c r="G13" s="7">
        <v>266776</v>
      </c>
      <c r="H13" s="7">
        <v>172459</v>
      </c>
    </row>
    <row r="14" spans="1:9" x14ac:dyDescent="0.2">
      <c r="B14" s="8" t="s">
        <v>11</v>
      </c>
      <c r="C14" s="9"/>
      <c r="D14" s="10"/>
      <c r="E14" s="10"/>
      <c r="F14" s="11">
        <v>6205405</v>
      </c>
      <c r="G14" s="11">
        <v>9965657</v>
      </c>
      <c r="H14" s="11">
        <v>12722552</v>
      </c>
    </row>
    <row r="15" spans="1:9" x14ac:dyDescent="0.2">
      <c r="B15" s="16" t="s">
        <v>8</v>
      </c>
      <c r="C15" s="5"/>
      <c r="F15" s="7">
        <v>-797415</v>
      </c>
      <c r="G15" s="7">
        <v>-1254026</v>
      </c>
      <c r="H15" s="7">
        <v>-1741351</v>
      </c>
    </row>
    <row r="16" spans="1:9" x14ac:dyDescent="0.2">
      <c r="B16" s="8" t="s">
        <v>9</v>
      </c>
      <c r="C16" s="9"/>
      <c r="D16" s="10"/>
      <c r="E16" s="10"/>
      <c r="F16" s="13">
        <v>5407990</v>
      </c>
      <c r="G16" s="13">
        <v>8711631</v>
      </c>
      <c r="H16" s="13">
        <v>10981201</v>
      </c>
    </row>
    <row r="19" spans="1:8" x14ac:dyDescent="0.2">
      <c r="A19" s="3" t="s">
        <v>57</v>
      </c>
      <c r="B19" s="18" t="s">
        <v>51</v>
      </c>
      <c r="C19" s="20"/>
      <c r="D19" s="19"/>
      <c r="E19" s="19"/>
      <c r="F19" s="19"/>
      <c r="G19" s="19"/>
      <c r="H19" s="19"/>
    </row>
    <row r="20" spans="1:8" x14ac:dyDescent="0.2">
      <c r="F20" s="2">
        <v>2023</v>
      </c>
      <c r="G20" s="2">
        <f t="shared" ref="G20:H20" si="1">F20+1</f>
        <v>2024</v>
      </c>
      <c r="H20" s="2">
        <f t="shared" si="1"/>
        <v>2025</v>
      </c>
    </row>
    <row r="21" spans="1:8" x14ac:dyDescent="0.2">
      <c r="B21" s="4" t="s">
        <v>12</v>
      </c>
      <c r="C21" s="5"/>
      <c r="F21" s="14"/>
      <c r="G21" s="14"/>
      <c r="H21" s="14"/>
    </row>
    <row r="22" spans="1:8" x14ac:dyDescent="0.2">
      <c r="B22" s="16" t="s">
        <v>9</v>
      </c>
      <c r="C22" s="5"/>
      <c r="F22" s="6">
        <v>5407990</v>
      </c>
      <c r="G22" s="6">
        <v>8711631</v>
      </c>
      <c r="H22" s="6">
        <v>10981201</v>
      </c>
    </row>
    <row r="23" spans="1:8" x14ac:dyDescent="0.2">
      <c r="B23" s="16" t="s">
        <v>13</v>
      </c>
      <c r="C23" s="5"/>
      <c r="F23" s="12"/>
      <c r="G23" s="12"/>
      <c r="H23" s="12"/>
    </row>
    <row r="24" spans="1:8" x14ac:dyDescent="0.2">
      <c r="B24" s="16" t="s">
        <v>14</v>
      </c>
      <c r="C24" s="5"/>
      <c r="F24" s="12"/>
      <c r="G24" s="12"/>
      <c r="H24" s="12"/>
    </row>
    <row r="25" spans="1:8" x14ac:dyDescent="0.2">
      <c r="B25" s="16" t="s">
        <v>15</v>
      </c>
      <c r="C25" s="5"/>
      <c r="F25" s="7">
        <v>-12554703</v>
      </c>
      <c r="G25" s="7">
        <v>-16223617</v>
      </c>
      <c r="H25" s="7">
        <v>-17096617</v>
      </c>
    </row>
    <row r="26" spans="1:8" x14ac:dyDescent="0.2">
      <c r="B26" s="16" t="s">
        <v>16</v>
      </c>
      <c r="C26" s="5"/>
      <c r="F26" s="7">
        <v>-585602</v>
      </c>
      <c r="G26" s="7">
        <v>-779135</v>
      </c>
      <c r="H26" s="7">
        <v>-610838</v>
      </c>
    </row>
    <row r="27" spans="1:8" x14ac:dyDescent="0.2">
      <c r="B27" s="16" t="s">
        <v>17</v>
      </c>
      <c r="C27" s="5"/>
      <c r="F27" s="7">
        <v>14197437</v>
      </c>
      <c r="G27" s="7">
        <v>15301517</v>
      </c>
      <c r="H27" s="7">
        <v>16422166</v>
      </c>
    </row>
    <row r="28" spans="1:8" x14ac:dyDescent="0.2">
      <c r="B28" s="16" t="s">
        <v>18</v>
      </c>
      <c r="C28" s="5"/>
      <c r="F28" s="12"/>
      <c r="G28" s="12"/>
      <c r="H28" s="12"/>
    </row>
    <row r="29" spans="1:8" x14ac:dyDescent="0.2">
      <c r="B29" s="16" t="s">
        <v>19</v>
      </c>
      <c r="C29" s="5"/>
      <c r="F29" s="7">
        <v>356947</v>
      </c>
      <c r="G29" s="7">
        <v>328914</v>
      </c>
      <c r="H29" s="7">
        <v>333389</v>
      </c>
    </row>
    <row r="30" spans="1:8" x14ac:dyDescent="0.2">
      <c r="B30" s="16" t="s">
        <v>20</v>
      </c>
      <c r="C30" s="5"/>
      <c r="F30" s="7">
        <v>339368</v>
      </c>
      <c r="G30" s="7">
        <v>272588</v>
      </c>
      <c r="H30" s="7">
        <v>368449</v>
      </c>
    </row>
    <row r="31" spans="1:8" x14ac:dyDescent="0.2">
      <c r="B31" s="16" t="s">
        <v>21</v>
      </c>
      <c r="C31" s="5"/>
      <c r="F31" s="7">
        <v>176296</v>
      </c>
      <c r="G31" s="7">
        <v>-121539</v>
      </c>
      <c r="H31" s="7">
        <v>72348</v>
      </c>
    </row>
    <row r="32" spans="1:8" x14ac:dyDescent="0.2">
      <c r="B32" s="16" t="s">
        <v>22</v>
      </c>
      <c r="C32" s="5"/>
      <c r="F32" s="7">
        <v>512075</v>
      </c>
      <c r="G32" s="7">
        <v>494778</v>
      </c>
      <c r="H32" s="7">
        <v>577451</v>
      </c>
    </row>
    <row r="33" spans="2:8" x14ac:dyDescent="0.2">
      <c r="B33" s="16" t="s">
        <v>23</v>
      </c>
      <c r="C33" s="5"/>
      <c r="F33" s="7">
        <v>-459359</v>
      </c>
      <c r="G33" s="7">
        <v>-590698</v>
      </c>
      <c r="H33" s="7">
        <v>-442056</v>
      </c>
    </row>
    <row r="34" spans="2:8" x14ac:dyDescent="0.2">
      <c r="B34" s="16" t="s">
        <v>24</v>
      </c>
      <c r="C34" s="5"/>
      <c r="F34" s="12"/>
      <c r="G34" s="12"/>
      <c r="H34" s="12"/>
    </row>
    <row r="35" spans="2:8" x14ac:dyDescent="0.2">
      <c r="B35" s="16" t="s">
        <v>25</v>
      </c>
      <c r="C35" s="5"/>
      <c r="F35" s="7">
        <v>-181003</v>
      </c>
      <c r="G35" s="7">
        <v>22180</v>
      </c>
      <c r="H35" s="7">
        <v>-790661</v>
      </c>
    </row>
    <row r="36" spans="2:8" x14ac:dyDescent="0.2">
      <c r="B36" s="16" t="s">
        <v>26</v>
      </c>
      <c r="C36" s="5"/>
      <c r="F36" s="7">
        <v>93502</v>
      </c>
      <c r="G36" s="7">
        <v>121353</v>
      </c>
      <c r="H36" s="7">
        <v>-8039</v>
      </c>
    </row>
    <row r="37" spans="2:8" x14ac:dyDescent="0.2">
      <c r="B37" s="16" t="s">
        <v>27</v>
      </c>
      <c r="C37" s="5"/>
      <c r="F37" s="7">
        <v>103565</v>
      </c>
      <c r="G37" s="7">
        <v>191899</v>
      </c>
      <c r="H37" s="7">
        <v>881218</v>
      </c>
    </row>
    <row r="38" spans="2:8" x14ac:dyDescent="0.2">
      <c r="B38" s="16" t="s">
        <v>28</v>
      </c>
      <c r="C38" s="5"/>
      <c r="F38" s="7">
        <v>178708</v>
      </c>
      <c r="G38" s="7">
        <v>77844</v>
      </c>
      <c r="H38" s="7">
        <v>254917</v>
      </c>
    </row>
    <row r="39" spans="2:8" x14ac:dyDescent="0.2">
      <c r="B39" s="16" t="s">
        <v>29</v>
      </c>
      <c r="C39" s="5"/>
      <c r="F39" s="7">
        <v>-310920</v>
      </c>
      <c r="G39" s="7">
        <v>-446351</v>
      </c>
      <c r="H39" s="7">
        <v>-793655</v>
      </c>
    </row>
    <row r="40" spans="2:8" x14ac:dyDescent="0.2">
      <c r="B40" s="16" t="s">
        <v>30</v>
      </c>
      <c r="C40" s="5"/>
      <c r="F40" s="7">
        <v>7274301</v>
      </c>
      <c r="G40" s="7">
        <v>7361364</v>
      </c>
      <c r="H40" s="7">
        <v>10149273</v>
      </c>
    </row>
    <row r="41" spans="2:8" x14ac:dyDescent="0.2">
      <c r="B41" s="5"/>
      <c r="C41" s="5"/>
      <c r="F41" s="7"/>
      <c r="G41" s="7"/>
      <c r="H41" s="7"/>
    </row>
    <row r="42" spans="2:8" x14ac:dyDescent="0.2">
      <c r="B42" s="4" t="s">
        <v>31</v>
      </c>
      <c r="C42" s="5"/>
      <c r="F42" s="12"/>
      <c r="G42" s="12"/>
      <c r="H42" s="12"/>
    </row>
    <row r="43" spans="2:8" x14ac:dyDescent="0.2">
      <c r="B43" s="16" t="s">
        <v>32</v>
      </c>
      <c r="C43" s="5"/>
      <c r="F43" s="7">
        <v>-348552</v>
      </c>
      <c r="G43" s="7">
        <v>-439538</v>
      </c>
      <c r="H43" s="7">
        <v>-688220</v>
      </c>
    </row>
    <row r="44" spans="2:8" x14ac:dyDescent="0.2">
      <c r="B44" s="16" t="s">
        <v>33</v>
      </c>
      <c r="C44" s="5"/>
      <c r="F44" s="15">
        <v>0</v>
      </c>
      <c r="G44" s="15">
        <v>0</v>
      </c>
      <c r="H44" s="7">
        <v>-17194</v>
      </c>
    </row>
    <row r="45" spans="2:8" x14ac:dyDescent="0.2">
      <c r="B45" s="16" t="s">
        <v>44</v>
      </c>
      <c r="C45" s="5"/>
      <c r="F45" s="7">
        <v>-504862</v>
      </c>
      <c r="G45" s="7">
        <v>-1742246</v>
      </c>
      <c r="H45" s="7">
        <v>-169965</v>
      </c>
    </row>
    <row r="46" spans="2:8" x14ac:dyDescent="0.2">
      <c r="B46" s="16" t="s">
        <v>45</v>
      </c>
      <c r="C46" s="5"/>
      <c r="F46" s="7">
        <v>1395165</v>
      </c>
      <c r="G46" s="15">
        <v>0</v>
      </c>
      <c r="H46" s="7">
        <v>1917067</v>
      </c>
    </row>
    <row r="47" spans="2:8" x14ac:dyDescent="0.2">
      <c r="B47" s="16" t="s">
        <v>34</v>
      </c>
      <c r="C47" s="5"/>
      <c r="F47" s="7">
        <v>541751</v>
      </c>
      <c r="G47" s="7">
        <v>-2181784</v>
      </c>
      <c r="H47" s="7">
        <v>1041688</v>
      </c>
    </row>
    <row r="48" spans="2:8" x14ac:dyDescent="0.2">
      <c r="B48" s="5"/>
      <c r="C48" s="5"/>
      <c r="F48" s="7"/>
      <c r="G48" s="7"/>
      <c r="H48" s="7"/>
    </row>
    <row r="49" spans="1:8" x14ac:dyDescent="0.2">
      <c r="B49" s="4" t="s">
        <v>35</v>
      </c>
      <c r="C49" s="14"/>
      <c r="F49" s="12"/>
      <c r="G49" s="12"/>
      <c r="H49" s="12"/>
    </row>
    <row r="50" spans="1:8" x14ac:dyDescent="0.2">
      <c r="B50" s="16" t="s">
        <v>46</v>
      </c>
      <c r="C50" s="5"/>
      <c r="F50" s="15">
        <v>0</v>
      </c>
      <c r="G50" s="7">
        <v>1794460</v>
      </c>
      <c r="H50" s="15">
        <v>0</v>
      </c>
    </row>
    <row r="51" spans="1:8" x14ac:dyDescent="0.2">
      <c r="B51" s="16" t="s">
        <v>36</v>
      </c>
      <c r="C51" s="5"/>
      <c r="F51" s="15">
        <v>0</v>
      </c>
      <c r="G51" s="7">
        <v>-400000</v>
      </c>
      <c r="H51" s="7">
        <v>-1833450</v>
      </c>
    </row>
    <row r="52" spans="1:8" x14ac:dyDescent="0.2">
      <c r="B52" s="16" t="s">
        <v>37</v>
      </c>
      <c r="C52" s="5"/>
      <c r="F52" s="7">
        <v>169990</v>
      </c>
      <c r="G52" s="7">
        <v>832887</v>
      </c>
      <c r="H52" s="7">
        <v>666965</v>
      </c>
    </row>
    <row r="53" spans="1:8" x14ac:dyDescent="0.2">
      <c r="B53" s="16" t="s">
        <v>38</v>
      </c>
      <c r="C53" s="5"/>
      <c r="F53" s="7">
        <v>-6045347</v>
      </c>
      <c r="G53" s="7">
        <v>-6263746</v>
      </c>
      <c r="H53" s="7">
        <v>-9127167</v>
      </c>
    </row>
    <row r="54" spans="1:8" x14ac:dyDescent="0.2">
      <c r="B54" s="16" t="s">
        <v>39</v>
      </c>
      <c r="C54" s="5"/>
      <c r="F54" s="15">
        <v>0</v>
      </c>
      <c r="G54" s="7">
        <v>-8285</v>
      </c>
      <c r="H54" s="7">
        <v>-46165</v>
      </c>
    </row>
    <row r="55" spans="1:8" x14ac:dyDescent="0.2">
      <c r="B55" s="16" t="s">
        <v>40</v>
      </c>
      <c r="C55" s="5"/>
      <c r="F55" s="7">
        <v>-75446</v>
      </c>
      <c r="G55" s="7">
        <v>-29743</v>
      </c>
      <c r="H55" s="7">
        <v>-5806</v>
      </c>
    </row>
    <row r="56" spans="1:8" x14ac:dyDescent="0.2">
      <c r="B56" s="16" t="s">
        <v>41</v>
      </c>
      <c r="C56" s="5"/>
      <c r="F56" s="7">
        <v>-5950803</v>
      </c>
      <c r="G56" s="7">
        <v>-4074427</v>
      </c>
      <c r="H56" s="7">
        <v>-10345623</v>
      </c>
    </row>
    <row r="57" spans="1:8" x14ac:dyDescent="0.2">
      <c r="B57" s="16" t="s">
        <v>47</v>
      </c>
      <c r="C57" s="5"/>
      <c r="F57" s="12"/>
      <c r="G57" s="12"/>
      <c r="H57" s="12"/>
    </row>
    <row r="58" spans="1:8" x14ac:dyDescent="0.2">
      <c r="B58" s="16" t="s">
        <v>42</v>
      </c>
      <c r="C58" s="5"/>
      <c r="F58" s="7">
        <v>82684</v>
      </c>
      <c r="G58" s="7">
        <v>-416331</v>
      </c>
      <c r="H58" s="7">
        <v>386519</v>
      </c>
    </row>
    <row r="59" spans="1:8" x14ac:dyDescent="0.2">
      <c r="B59" s="16" t="s">
        <v>48</v>
      </c>
      <c r="C59" s="5"/>
      <c r="F59" s="7">
        <v>1947933</v>
      </c>
      <c r="G59" s="7">
        <v>688822</v>
      </c>
      <c r="H59" s="7">
        <v>1231857</v>
      </c>
    </row>
    <row r="60" spans="1:8" x14ac:dyDescent="0.2">
      <c r="B60" s="16" t="s">
        <v>49</v>
      </c>
      <c r="C60" s="5"/>
      <c r="F60" s="7">
        <v>5170582</v>
      </c>
      <c r="G60" s="7">
        <v>7118515</v>
      </c>
      <c r="H60" s="7">
        <v>7807337</v>
      </c>
    </row>
    <row r="61" spans="1:8" x14ac:dyDescent="0.2">
      <c r="B61" s="16" t="s">
        <v>43</v>
      </c>
      <c r="C61" s="5"/>
      <c r="F61" s="6">
        <v>7118515</v>
      </c>
      <c r="G61" s="6">
        <v>7807337</v>
      </c>
      <c r="H61" s="6">
        <v>9039194</v>
      </c>
    </row>
    <row r="62" spans="1:8" x14ac:dyDescent="0.2">
      <c r="B62" s="96"/>
      <c r="C62" s="5"/>
      <c r="F62" s="12"/>
      <c r="G62" s="12"/>
      <c r="H62" s="12"/>
    </row>
    <row r="63" spans="1:8" x14ac:dyDescent="0.2">
      <c r="B63" s="14"/>
      <c r="C63" s="5"/>
      <c r="F63" s="12"/>
      <c r="G63" s="12"/>
      <c r="H63" s="12"/>
    </row>
    <row r="64" spans="1:8" x14ac:dyDescent="0.2">
      <c r="A64" s="1" t="s">
        <v>58</v>
      </c>
      <c r="B64" s="5"/>
      <c r="C64" s="5"/>
      <c r="F64" s="7"/>
      <c r="G64" s="7"/>
      <c r="H64" s="7"/>
    </row>
  </sheetData>
  <mergeCells count="1">
    <mergeCell ref="A1:B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vt:lpstr>
      <vt:lpstr>Outputs</vt:lpstr>
      <vt:lpstr>Model</vt:lpstr>
      <vt:lpstr>Statements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Khalid Bin Abdullah</dc:creator>
  <cp:lastModifiedBy>Khalid Bin Abdullah</cp:lastModifiedBy>
  <dcterms:created xsi:type="dcterms:W3CDTF">2026-02-02T04:22:27Z</dcterms:created>
  <dcterms:modified xsi:type="dcterms:W3CDTF">2026-02-03T20:31:11Z</dcterms:modified>
</cp:coreProperties>
</file>